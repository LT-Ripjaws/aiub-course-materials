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iubedu60714-my.sharepoint.com/personal/mohaimen_niloy_aiub_edu/Documents/DWDM - Learning Materials/Data Mining Mid Term Contents/"/>
    </mc:Choice>
  </mc:AlternateContent>
  <xr:revisionPtr revIDLastSave="4" documentId="13_ncr:1_{C4B70B78-6CE9-42BE-B2F0-7BC4D12A641F}" xr6:coauthVersionLast="47" xr6:coauthVersionMax="47" xr10:uidLastSave="{96711A98-B203-4183-8DAA-F5BC436C0526}"/>
  <bookViews>
    <workbookView xWindow="-110" yWindow="-110" windowWidth="19420" windowHeight="10300" activeTab="2" xr2:uid="{00000000-000D-0000-FFFF-FFFF00000000}"/>
  </bookViews>
  <sheets>
    <sheet name="KNN" sheetId="1" r:id="rId1"/>
    <sheet name="Normalization" sheetId="2" r:id="rId2"/>
    <sheet name="Practic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5" i="2"/>
  <c r="F3" i="2"/>
  <c r="F2" i="2"/>
  <c r="F14" i="2"/>
  <c r="F4" i="2"/>
  <c r="F8" i="2"/>
  <c r="F10" i="2"/>
  <c r="F12" i="2"/>
  <c r="F6" i="2"/>
  <c r="F7" i="2"/>
  <c r="F9" i="2"/>
  <c r="F11" i="2"/>
  <c r="E13" i="2"/>
  <c r="E5" i="2"/>
  <c r="E3" i="2"/>
  <c r="E2" i="2"/>
  <c r="E14" i="2"/>
  <c r="E4" i="2"/>
  <c r="E8" i="2"/>
  <c r="E10" i="2"/>
  <c r="E12" i="2"/>
  <c r="E6" i="2"/>
  <c r="E7" i="2"/>
  <c r="E9" i="2"/>
  <c r="E11" i="2"/>
  <c r="C18" i="2"/>
  <c r="B18" i="2"/>
  <c r="A18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F2" i="3"/>
  <c r="F3" i="3"/>
  <c r="F4" i="3"/>
  <c r="F5" i="3"/>
  <c r="F6" i="3"/>
  <c r="F7" i="3"/>
  <c r="F8" i="3"/>
  <c r="F9" i="3"/>
  <c r="F10" i="3"/>
  <c r="F11" i="3"/>
  <c r="E2" i="3"/>
  <c r="E3" i="3"/>
  <c r="E4" i="3"/>
  <c r="E5" i="3"/>
  <c r="E6" i="3"/>
  <c r="E7" i="3"/>
  <c r="E8" i="3"/>
  <c r="E9" i="3"/>
  <c r="E10" i="3"/>
  <c r="E11" i="3"/>
</calcChain>
</file>

<file path=xl/sharedStrings.xml><?xml version="1.0" encoding="utf-8"?>
<sst xmlns="http://schemas.openxmlformats.org/spreadsheetml/2006/main" count="57" uniqueCount="13">
  <si>
    <t>Attr 1</t>
  </si>
  <si>
    <t>Attr 2</t>
  </si>
  <si>
    <t>Class</t>
  </si>
  <si>
    <t>N</t>
  </si>
  <si>
    <t>P</t>
  </si>
  <si>
    <t>?</t>
  </si>
  <si>
    <t>Euclidean Distance</t>
  </si>
  <si>
    <t>Attr 3</t>
  </si>
  <si>
    <t>Manhatan Distance</t>
  </si>
  <si>
    <t>??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</si>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</sst>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1" fillId="0" borderId="0" xfId="0" applyFont="1"/>
    <xf numFmtId="165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33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1348A-C72B-4501-8E27-953D155D3DC7}" name="Table1" displayName="Table1" ref="A1:F14" totalsRowShown="0" headerRowDxfId="32" dataDxfId="30" headerRowBorderDxfId="31" tableBorderDxfId="29" totalsRowBorderDxfId="28">
  <autoFilter ref="A1:F14" xr:uid="{E2B1348A-C72B-4501-8E27-953D155D3DC7}"/>
  <sortState xmlns:xlrd2="http://schemas.microsoft.com/office/spreadsheetml/2017/richdata2" ref="A2:F14">
    <sortCondition ref="F1:F14"/>
  </sortState>
  <tableColumns count="6">
    <tableColumn id="1" xr3:uid="{AB8135A0-F4D1-4656-801A-D7A9961A073F}" name="Attr 1" dataDxfId="27"/>
    <tableColumn id="2" xr3:uid="{2BBBED0E-4CED-48D1-A30D-C14F1EEB15CC}" name="Attr 2" dataDxfId="26"/>
    <tableColumn id="5" xr3:uid="{62F17877-D244-421E-8B75-F4222D8A3AE0}" name="Attr 3" dataDxfId="25"/>
    <tableColumn id="3" xr3:uid="{B10E6FC8-39C6-4E36-A4D5-F552DB39B5E3}" name="Class" dataDxfId="24"/>
    <tableColumn id="4" xr3:uid="{33631D42-78A3-4ADD-9E62-3C2063661610}" name="Euclidean Distance" dataDxfId="23">
      <calculatedColumnFormula>SQRT((40-Table1[[#This Row],[Attr 1]])^2+(45-Table1[[#This Row],[Attr 2]])^2+(50-Table1[[#This Row],[Attr 3]])^2)</calculatedColumnFormula>
    </tableColumn>
    <tableColumn id="6" xr3:uid="{3FAF2E0E-70AA-4B6D-AADF-55DDF9DBCFF1}" name="Manhatan Distance" dataDxfId="22">
      <calculatedColumnFormula>ABS(40-Table1[[#This Row],[Attr 1]])+ABS(45-Table1[[#This Row],[Attr 2]])+ABS(50-Table1[[#This Row],[Attr 3]])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8C78D-2BC1-4BED-BC7F-A5F0F0FC5A55}" name="Table2" displayName="Table2" ref="A1:F14" totalsRowShown="0" headerRowDxfId="21" dataDxfId="19" headerRowBorderDxfId="20" tableBorderDxfId="18" totalsRowBorderDxfId="17">
  <autoFilter ref="A1:F14" xr:uid="{7D68C78D-2BC1-4BED-BC7F-A5F0F0FC5A55}"/>
  <sortState xmlns:xlrd2="http://schemas.microsoft.com/office/spreadsheetml/2017/richdata2" ref="A2:F14">
    <sortCondition ref="F1:F14"/>
  </sortState>
  <tableColumns count="6">
    <tableColumn id="1" xr3:uid="{D423AC79-32F3-4230-A1E8-34E9AE2543C6}" name="Attr 1" dataDxfId="16"/>
    <tableColumn id="2" xr3:uid="{1770CAF5-38CA-4F54-891E-423845D51E07}" name="Attr 2" dataDxfId="15"/>
    <tableColumn id="3" xr3:uid="{8ACA3DF5-D154-4D5C-82D7-C210BDF07D62}" name="Attr 3" dataDxfId="14"/>
    <tableColumn id="4" xr3:uid="{5FCF78CE-3CE7-4BA0-92E9-864BF4AE2EE9}" name="Class" dataDxfId="13"/>
    <tableColumn id="5" xr3:uid="{0E640E0C-7069-4F00-BDD5-73BC22715C63}" name="Euclidean Distance" dataDxfId="12">
      <calculatedColumnFormula>SQRT((0.444-Table2[[#This Row],[Attr 1]])^2+(0.826-Table2[[#This Row],[Attr 2]])^2+(0.569-Table2[[#This Row],[Attr 3]])^2)</calculatedColumnFormula>
    </tableColumn>
    <tableColumn id="6" xr3:uid="{4F4629B7-2975-4BB4-897B-8F32449C98F4}" name="Manhatan Distance" dataDxfId="11">
      <calculatedColumnFormula>ABS(0.444-Table2[[#This Row],[Attr 1]])+ABS(0.826-Table2[[#This Row],[Attr 2]])+ABS(0.569-Table2[[#This Row],[Attr 3]])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D7A8A-2ADB-4D92-AFF7-3BF008826310}" name="Table14" displayName="Table14" ref="A1:F11" totalsRowShown="0" headerRowDxfId="10" dataDxfId="8" headerRowBorderDxfId="9" tableBorderDxfId="7" totalsRowBorderDxfId="6">
  <autoFilter ref="A1:F11" xr:uid="{E2B1348A-C72B-4501-8E27-953D155D3DC7}"/>
  <sortState xmlns:xlrd2="http://schemas.microsoft.com/office/spreadsheetml/2017/richdata2" ref="A2:F11">
    <sortCondition ref="F1:F11"/>
  </sortState>
  <tableColumns count="6">
    <tableColumn id="1" xr3:uid="{B18CDF76-0342-404D-ADB6-F8CB9D972CD6}" name="Attr 1" dataDxfId="5"/>
    <tableColumn id="2" xr3:uid="{79843876-F3BC-479E-B4C8-E4D0B2D38E40}" name="Attr 2" dataDxfId="4"/>
    <tableColumn id="5" xr3:uid="{AC2D50CA-02B0-4D92-9AFC-3A124502E7BE}" name="Attr 3" dataDxfId="3"/>
    <tableColumn id="3" xr3:uid="{D8F8D39B-0430-4E38-AA8F-9EE4FFC922E1}" name="Class" dataDxfId="2"/>
    <tableColumn id="4" xr3:uid="{9D9D0DD3-7619-4CB6-A675-818A352A722C}" name="Euclidean Distance" dataDxfId="1">
      <calculatedColumnFormula>SQRT((Table14[[#This Row],[Attr 1]]-60)^2+(Table14[[#This Row],[Attr 2]]-70)^2+(Table14[[#This Row],[Attr 3]]-80)^2)</calculatedColumnFormula>
    </tableColumn>
    <tableColumn id="6" xr3:uid="{5088B237-5552-4B3B-A90F-4AA28F7CAF24}" name="Manhatan Distance" dataDxfId="0">
      <calculatedColumnFormula>ABS(Table14[[#This Row],[Attr 1]]-60)+ABS(Table14[[#This Row],[Attr 2]]-70)+ABS(Table14[[#This Row],[Attr 3]]-80)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D2" sqref="D2:D14"/>
    </sheetView>
  </sheetViews>
  <sheetFormatPr defaultRowHeight="14" x14ac:dyDescent="0.3"/>
  <cols>
    <col min="1" max="2" width="10.81640625" style="21" bestFit="1" customWidth="1"/>
    <col min="3" max="3" width="10.81640625" style="21" customWidth="1"/>
    <col min="4" max="4" width="14.6328125" style="21" customWidth="1"/>
    <col min="5" max="5" width="23.26953125" style="21" bestFit="1" customWidth="1"/>
    <col min="6" max="6" width="23.453125" style="21" bestFit="1" customWidth="1"/>
    <col min="7" max="16384" width="8.7265625" style="21"/>
  </cols>
  <sheetData>
    <row r="1" spans="1:6" x14ac:dyDescent="0.3">
      <c r="A1" s="1" t="s">
        <v>0</v>
      </c>
      <c r="B1" s="2" t="s">
        <v>1</v>
      </c>
      <c r="C1" s="3" t="s">
        <v>7</v>
      </c>
      <c r="D1" s="3" t="s">
        <v>2</v>
      </c>
      <c r="E1" s="5" t="s">
        <v>6</v>
      </c>
      <c r="F1" s="5" t="s">
        <v>8</v>
      </c>
    </row>
    <row r="2" spans="1:6" x14ac:dyDescent="0.3">
      <c r="A2" s="4">
        <v>36</v>
      </c>
      <c r="B2" s="4">
        <v>28</v>
      </c>
      <c r="C2" s="13">
        <v>17</v>
      </c>
      <c r="D2" s="6" t="s">
        <v>4</v>
      </c>
      <c r="E2" s="22">
        <f>SQRT((40-Table1[[#This Row],[Attr 1]])^2+(45-Table1[[#This Row],[Attr 2]])^2+(50-Table1[[#This Row],[Attr 3]])^2)</f>
        <v>37.336309405188942</v>
      </c>
      <c r="F2" s="5">
        <f>ABS(40-Table1[[#This Row],[Attr 1]])+ABS(45-Table1[[#This Row],[Attr 2]])+ABS(50-Table1[[#This Row],[Attr 3]])</f>
        <v>54</v>
      </c>
    </row>
    <row r="3" spans="1:6" x14ac:dyDescent="0.3">
      <c r="A3" s="4">
        <v>36</v>
      </c>
      <c r="B3" s="5">
        <v>34</v>
      </c>
      <c r="C3" s="6">
        <v>62</v>
      </c>
      <c r="D3" s="6" t="s">
        <v>3</v>
      </c>
      <c r="E3" s="22">
        <f>SQRT((40-Table1[[#This Row],[Attr 1]])^2+(45-Table1[[#This Row],[Attr 2]])^2+(50-Table1[[#This Row],[Attr 3]])^2)</f>
        <v>16.763054614240211</v>
      </c>
      <c r="F3" s="5">
        <f>ABS(40-Table1[[#This Row],[Attr 1]])+ABS(45-Table1[[#This Row],[Attr 2]])+ABS(50-Table1[[#This Row],[Attr 3]])</f>
        <v>27</v>
      </c>
    </row>
    <row r="4" spans="1:6" x14ac:dyDescent="0.3">
      <c r="A4" s="4">
        <v>46</v>
      </c>
      <c r="B4" s="5">
        <v>44</v>
      </c>
      <c r="C4" s="6">
        <v>64</v>
      </c>
      <c r="D4" s="6" t="s">
        <v>3</v>
      </c>
      <c r="E4" s="22">
        <f>SQRT((40-Table1[[#This Row],[Attr 1]])^2+(45-Table1[[#This Row],[Attr 2]])^2+(50-Table1[[#This Row],[Attr 3]])^2)</f>
        <v>15.264337522473747</v>
      </c>
      <c r="F4" s="5">
        <f>ABS(40-Table1[[#This Row],[Attr 1]])+ABS(45-Table1[[#This Row],[Attr 2]])+ABS(50-Table1[[#This Row],[Attr 3]])</f>
        <v>21</v>
      </c>
    </row>
    <row r="5" spans="1:6" x14ac:dyDescent="0.3">
      <c r="A5" s="4">
        <v>42</v>
      </c>
      <c r="B5" s="5">
        <v>49</v>
      </c>
      <c r="C5" s="6">
        <v>54</v>
      </c>
      <c r="D5" s="6" t="s">
        <v>4</v>
      </c>
      <c r="E5" s="22">
        <f>SQRT((40-Table1[[#This Row],[Attr 1]])^2+(45-Table1[[#This Row],[Attr 2]])^2+(50-Table1[[#This Row],[Attr 3]])^2)</f>
        <v>6</v>
      </c>
      <c r="F5" s="5">
        <f>ABS(40-Table1[[#This Row],[Attr 1]])+ABS(45-Table1[[#This Row],[Attr 2]])+ABS(50-Table1[[#This Row],[Attr 3]])</f>
        <v>10</v>
      </c>
    </row>
    <row r="6" spans="1:6" x14ac:dyDescent="0.3">
      <c r="A6" s="4">
        <v>49</v>
      </c>
      <c r="B6" s="5">
        <v>26</v>
      </c>
      <c r="C6" s="6">
        <v>62</v>
      </c>
      <c r="D6" s="6" t="s">
        <v>4</v>
      </c>
      <c r="E6" s="22">
        <f>SQRT((40-Table1[[#This Row],[Attr 1]])^2+(45-Table1[[#This Row],[Attr 2]])^2+(50-Table1[[#This Row],[Attr 3]])^2)</f>
        <v>24.207436873820409</v>
      </c>
      <c r="F6" s="5">
        <f>ABS(40-Table1[[#This Row],[Attr 1]])+ABS(45-Table1[[#This Row],[Attr 2]])+ABS(50-Table1[[#This Row],[Attr 3]])</f>
        <v>40</v>
      </c>
    </row>
    <row r="7" spans="1:6" x14ac:dyDescent="0.3">
      <c r="A7" s="4">
        <v>48</v>
      </c>
      <c r="B7" s="5">
        <v>42</v>
      </c>
      <c r="C7" s="6">
        <v>69</v>
      </c>
      <c r="D7" s="6" t="s">
        <v>4</v>
      </c>
      <c r="E7" s="22">
        <f>SQRT((40-Table1[[#This Row],[Attr 1]])^2+(45-Table1[[#This Row],[Attr 2]])^2+(50-Table1[[#This Row],[Attr 3]])^2)</f>
        <v>20.83266665599966</v>
      </c>
      <c r="F7" s="5">
        <f>ABS(40-Table1[[#This Row],[Attr 1]])+ABS(45-Table1[[#This Row],[Attr 2]])+ABS(50-Table1[[#This Row],[Attr 3]])</f>
        <v>30</v>
      </c>
    </row>
    <row r="8" spans="1:6" x14ac:dyDescent="0.3">
      <c r="A8" s="4">
        <v>32</v>
      </c>
      <c r="B8" s="5">
        <v>42</v>
      </c>
      <c r="C8" s="6">
        <v>17</v>
      </c>
      <c r="D8" s="6" t="s">
        <v>3</v>
      </c>
      <c r="E8" s="22">
        <f>SQRT((40-Table1[[#This Row],[Attr 1]])^2+(45-Table1[[#This Row],[Attr 2]])^2+(50-Table1[[#This Row],[Attr 3]])^2)</f>
        <v>34.08812109811862</v>
      </c>
      <c r="F8" s="5">
        <f>ABS(40-Table1[[#This Row],[Attr 1]])+ABS(45-Table1[[#This Row],[Attr 2]])+ABS(50-Table1[[#This Row],[Attr 3]])</f>
        <v>44</v>
      </c>
    </row>
    <row r="9" spans="1:6" x14ac:dyDescent="0.3">
      <c r="A9" s="4">
        <v>36</v>
      </c>
      <c r="B9" s="5">
        <v>33</v>
      </c>
      <c r="C9" s="6">
        <v>24</v>
      </c>
      <c r="D9" s="6" t="s">
        <v>3</v>
      </c>
      <c r="E9" s="22">
        <f>SQRT((40-Table1[[#This Row],[Attr 1]])^2+(45-Table1[[#This Row],[Attr 2]])^2+(50-Table1[[#This Row],[Attr 3]])^2)</f>
        <v>28.913664589601922</v>
      </c>
      <c r="F9" s="5">
        <f>ABS(40-Table1[[#This Row],[Attr 1]])+ABS(45-Table1[[#This Row],[Attr 2]])+ABS(50-Table1[[#This Row],[Attr 3]])</f>
        <v>42</v>
      </c>
    </row>
    <row r="10" spans="1:6" x14ac:dyDescent="0.3">
      <c r="A10" s="4">
        <v>38</v>
      </c>
      <c r="B10" s="5">
        <v>26</v>
      </c>
      <c r="C10" s="6">
        <v>75</v>
      </c>
      <c r="D10" s="6" t="s">
        <v>3</v>
      </c>
      <c r="E10" s="22">
        <f>SQRT((40-Table1[[#This Row],[Attr 1]])^2+(45-Table1[[#This Row],[Attr 2]])^2+(50-Table1[[#This Row],[Attr 3]])^2)</f>
        <v>31.464265445104548</v>
      </c>
      <c r="F10" s="5">
        <f>ABS(40-Table1[[#This Row],[Attr 1]])+ABS(45-Table1[[#This Row],[Attr 2]])+ABS(50-Table1[[#This Row],[Attr 3]])</f>
        <v>46</v>
      </c>
    </row>
    <row r="11" spans="1:6" x14ac:dyDescent="0.3">
      <c r="A11" s="4">
        <v>45</v>
      </c>
      <c r="B11" s="5">
        <v>31</v>
      </c>
      <c r="C11" s="6">
        <v>55</v>
      </c>
      <c r="D11" s="6" t="s">
        <v>4</v>
      </c>
      <c r="E11" s="22">
        <f>SQRT((40-Table1[[#This Row],[Attr 1]])^2+(45-Table1[[#This Row],[Attr 2]])^2+(50-Table1[[#This Row],[Attr 3]])^2)</f>
        <v>15.684387141358123</v>
      </c>
      <c r="F11" s="5">
        <f>ABS(40-Table1[[#This Row],[Attr 1]])+ABS(45-Table1[[#This Row],[Attr 2]])+ABS(50-Table1[[#This Row],[Attr 3]])</f>
        <v>24</v>
      </c>
    </row>
    <row r="12" spans="1:6" x14ac:dyDescent="0.3">
      <c r="A12" s="4">
        <v>32</v>
      </c>
      <c r="B12" s="5">
        <v>34</v>
      </c>
      <c r="C12" s="6">
        <v>58</v>
      </c>
      <c r="D12" s="6" t="s">
        <v>4</v>
      </c>
      <c r="E12" s="22">
        <f>SQRT((40-Table1[[#This Row],[Attr 1]])^2+(45-Table1[[#This Row],[Attr 2]])^2+(50-Table1[[#This Row],[Attr 3]])^2)</f>
        <v>15.779733838059499</v>
      </c>
      <c r="F12" s="5">
        <f>ABS(40-Table1[[#This Row],[Attr 1]])+ABS(45-Table1[[#This Row],[Attr 2]])+ABS(50-Table1[[#This Row],[Attr 3]])</f>
        <v>27</v>
      </c>
    </row>
    <row r="13" spans="1:6" x14ac:dyDescent="0.3">
      <c r="A13" s="4">
        <v>50</v>
      </c>
      <c r="B13" s="5">
        <v>36</v>
      </c>
      <c r="C13" s="6">
        <v>38</v>
      </c>
      <c r="D13" s="6" t="s">
        <v>3</v>
      </c>
      <c r="E13" s="22">
        <f>SQRT((40-Table1[[#This Row],[Attr 1]])^2+(45-Table1[[#This Row],[Attr 2]])^2+(50-Table1[[#This Row],[Attr 3]])^2)</f>
        <v>18.027756377319946</v>
      </c>
      <c r="F13" s="5">
        <f>ABS(40-Table1[[#This Row],[Attr 1]])+ABS(45-Table1[[#This Row],[Attr 2]])+ABS(50-Table1[[#This Row],[Attr 3]])</f>
        <v>31</v>
      </c>
    </row>
    <row r="14" spans="1:6" x14ac:dyDescent="0.3">
      <c r="A14" s="7">
        <v>49</v>
      </c>
      <c r="B14" s="8">
        <v>27</v>
      </c>
      <c r="C14" s="9">
        <v>53</v>
      </c>
      <c r="D14" s="9" t="s">
        <v>3</v>
      </c>
      <c r="E14" s="22">
        <f>SQRT((40-Table1[[#This Row],[Attr 1]])^2+(45-Table1[[#This Row],[Attr 2]])^2+(50-Table1[[#This Row],[Attr 3]])^2)</f>
        <v>20.346989949375804</v>
      </c>
      <c r="F14" s="5">
        <f>ABS(40-Table1[[#This Row],[Attr 1]])+ABS(45-Table1[[#This Row],[Attr 2]])+ABS(50-Table1[[#This Row],[Attr 3]])</f>
        <v>30</v>
      </c>
    </row>
    <row r="18" spans="1:4" x14ac:dyDescent="0.3">
      <c r="A18" s="5">
        <v>40</v>
      </c>
      <c r="B18" s="5">
        <v>45</v>
      </c>
      <c r="C18" s="5">
        <v>50</v>
      </c>
      <c r="D18" s="5" t="s">
        <v>5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E33A-8CDF-4365-8A0B-0419F44B38B3}">
  <dimension ref="A1:F18"/>
  <sheetViews>
    <sheetView workbookViewId="0">
      <selection activeCell="G1" sqref="G1"/>
    </sheetView>
  </sheetViews>
  <sheetFormatPr defaultRowHeight="14.5" x14ac:dyDescent="0.35"/>
  <cols>
    <col min="1" max="2" width="12.36328125" bestFit="1" customWidth="1"/>
    <col min="3" max="3" width="12.453125" bestFit="1" customWidth="1"/>
    <col min="4" max="4" width="10.26953125" bestFit="1" customWidth="1"/>
    <col min="5" max="5" width="23.26953125" bestFit="1" customWidth="1"/>
    <col min="6" max="6" width="23.453125" bestFit="1" customWidth="1"/>
  </cols>
  <sheetData>
    <row r="1" spans="1:6" x14ac:dyDescent="0.35">
      <c r="A1" s="16" t="s">
        <v>0</v>
      </c>
      <c r="B1" s="14" t="s">
        <v>1</v>
      </c>
      <c r="C1" s="14" t="s">
        <v>7</v>
      </c>
      <c r="D1" s="14" t="s">
        <v>2</v>
      </c>
      <c r="E1" s="14" t="s">
        <v>6</v>
      </c>
      <c r="F1" s="15" t="s">
        <v>8</v>
      </c>
    </row>
    <row r="2" spans="1:6" x14ac:dyDescent="0.35">
      <c r="A2" s="17">
        <v>0.55555555555555558</v>
      </c>
      <c r="B2" s="19">
        <v>1</v>
      </c>
      <c r="C2" s="19">
        <v>0.63793103448275867</v>
      </c>
      <c r="D2" s="10" t="s">
        <v>4</v>
      </c>
      <c r="E2" s="23">
        <f>SQRT((0.444-Table2[[#This Row],[Attr 1]])^2+(0.826-Table2[[#This Row],[Attr 2]])^2+(0.569-Table2[[#This Row],[Attr 3]])^2)</f>
        <v>0.21788099846056316</v>
      </c>
      <c r="F2" s="24">
        <f>ABS(0.444-Table2[[#This Row],[Attr 1]])+ABS(0.826-Table2[[#This Row],[Attr 2]])+ABS(0.569-Table2[[#This Row],[Attr 3]])</f>
        <v>0.35448659003831434</v>
      </c>
    </row>
    <row r="3" spans="1:6" x14ac:dyDescent="0.35">
      <c r="A3" s="17">
        <v>0.77777777777777779</v>
      </c>
      <c r="B3" s="19">
        <v>0.78260869565217395</v>
      </c>
      <c r="C3" s="19">
        <v>0.81034482758620685</v>
      </c>
      <c r="D3" s="10" t="s">
        <v>3</v>
      </c>
      <c r="E3" s="23">
        <f>SQRT((0.444-Table2[[#This Row],[Attr 1]])^2+(0.826-Table2[[#This Row],[Attr 2]])^2+(0.569-Table2[[#This Row],[Attr 3]])^2)</f>
        <v>0.41417114341041822</v>
      </c>
      <c r="F3" s="24">
        <f>ABS(0.444-Table2[[#This Row],[Attr 1]])+ABS(0.826-Table2[[#This Row],[Attr 2]])+ABS(0.569-Table2[[#This Row],[Attr 3]])</f>
        <v>0.61851390971181064</v>
      </c>
    </row>
    <row r="4" spans="1:6" x14ac:dyDescent="0.35">
      <c r="A4" s="17">
        <v>0.88888888888888884</v>
      </c>
      <c r="B4" s="19">
        <v>0.69565217391304346</v>
      </c>
      <c r="C4" s="19">
        <v>0.89655172413793105</v>
      </c>
      <c r="D4" s="10" t="s">
        <v>4</v>
      </c>
      <c r="E4" s="23">
        <f>SQRT((0.444-Table2[[#This Row],[Attr 1]])^2+(0.826-Table2[[#This Row],[Attr 2]])^2+(0.569-Table2[[#This Row],[Attr 3]])^2)</f>
        <v>0.56763263754660631</v>
      </c>
      <c r="F4" s="24">
        <f>ABS(0.444-Table2[[#This Row],[Attr 1]])+ABS(0.826-Table2[[#This Row],[Attr 2]])+ABS(0.569-Table2[[#This Row],[Attr 3]])</f>
        <v>0.90278843911377638</v>
      </c>
    </row>
    <row r="5" spans="1:6" x14ac:dyDescent="0.35">
      <c r="A5" s="17">
        <v>0.22222222222222221</v>
      </c>
      <c r="B5" s="19">
        <v>0.34782608695652173</v>
      </c>
      <c r="C5" s="19">
        <v>0.77586206896551724</v>
      </c>
      <c r="D5" s="10" t="s">
        <v>3</v>
      </c>
      <c r="E5" s="23">
        <f>SQRT((0.444-Table2[[#This Row],[Attr 1]])^2+(0.826-Table2[[#This Row],[Attr 2]])^2+(0.569-Table2[[#This Row],[Attr 3]])^2)</f>
        <v>0.56623986914386004</v>
      </c>
      <c r="F5" s="24">
        <f>ABS(0.444-Table2[[#This Row],[Attr 1]])+ABS(0.826-Table2[[#This Row],[Attr 2]])+ABS(0.569-Table2[[#This Row],[Attr 3]])</f>
        <v>0.90681375978677325</v>
      </c>
    </row>
    <row r="6" spans="1:6" x14ac:dyDescent="0.35">
      <c r="A6" s="17">
        <v>0.72222222222222221</v>
      </c>
      <c r="B6" s="19">
        <v>0.21739130434782608</v>
      </c>
      <c r="C6" s="19">
        <v>0.65517241379310343</v>
      </c>
      <c r="D6" s="10" t="s">
        <v>4</v>
      </c>
      <c r="E6" s="23">
        <f>SQRT((0.444-Table2[[#This Row],[Attr 1]])^2+(0.826-Table2[[#This Row],[Attr 2]])^2+(0.569-Table2[[#This Row],[Attr 3]])^2)</f>
        <v>0.67471314961296103</v>
      </c>
      <c r="F6" s="24">
        <f>ABS(0.444-Table2[[#This Row],[Attr 1]])+ABS(0.826-Table2[[#This Row],[Attr 2]])+ABS(0.569-Table2[[#This Row],[Attr 3]])</f>
        <v>0.97300333166749953</v>
      </c>
    </row>
    <row r="7" spans="1:6" x14ac:dyDescent="0.35">
      <c r="A7" s="17">
        <v>0</v>
      </c>
      <c r="B7" s="19">
        <v>0.34782608695652173</v>
      </c>
      <c r="C7" s="19">
        <v>0.7068965517241379</v>
      </c>
      <c r="D7" s="10" t="s">
        <v>4</v>
      </c>
      <c r="E7" s="23">
        <f>SQRT((0.444-Table2[[#This Row],[Attr 1]])^2+(0.826-Table2[[#This Row],[Attr 2]])^2+(0.569-Table2[[#This Row],[Attr 3]])^2)</f>
        <v>0.66693459206485883</v>
      </c>
      <c r="F7" s="24">
        <f>ABS(0.444-Table2[[#This Row],[Attr 1]])+ABS(0.826-Table2[[#This Row],[Attr 2]])+ABS(0.569-Table2[[#This Row],[Attr 3]])</f>
        <v>1.0600704647676162</v>
      </c>
    </row>
    <row r="8" spans="1:6" x14ac:dyDescent="0.35">
      <c r="A8" s="17">
        <v>0</v>
      </c>
      <c r="B8" s="19">
        <v>0.69565217391304346</v>
      </c>
      <c r="C8" s="19">
        <v>0</v>
      </c>
      <c r="D8" s="10" t="s">
        <v>3</v>
      </c>
      <c r="E8" s="23">
        <f>SQRT((0.444-Table2[[#This Row],[Attr 1]])^2+(0.826-Table2[[#This Row],[Attr 2]])^2+(0.569-Table2[[#This Row],[Attr 3]])^2)</f>
        <v>0.73340817814201897</v>
      </c>
      <c r="F8" s="24">
        <f>ABS(0.444-Table2[[#This Row],[Attr 1]])+ABS(0.826-Table2[[#This Row],[Attr 2]])+ABS(0.569-Table2[[#This Row],[Attr 3]])</f>
        <v>1.1433478260869565</v>
      </c>
    </row>
    <row r="9" spans="1:6" x14ac:dyDescent="0.35">
      <c r="A9" s="17">
        <v>1</v>
      </c>
      <c r="B9" s="19">
        <v>0.43478260869565216</v>
      </c>
      <c r="C9" s="19">
        <v>0.36206896551724138</v>
      </c>
      <c r="D9" s="10" t="s">
        <v>3</v>
      </c>
      <c r="E9" s="23">
        <f>SQRT((0.444-Table2[[#This Row],[Attr 1]])^2+(0.826-Table2[[#This Row],[Attr 2]])^2+(0.569-Table2[[#This Row],[Attr 3]])^2)</f>
        <v>0.71063879734439206</v>
      </c>
      <c r="F9" s="24">
        <f>ABS(0.444-Table2[[#This Row],[Attr 1]])+ABS(0.826-Table2[[#This Row],[Attr 2]])+ABS(0.569-Table2[[#This Row],[Attr 3]])</f>
        <v>1.1541484257871064</v>
      </c>
    </row>
    <row r="10" spans="1:6" x14ac:dyDescent="0.35">
      <c r="A10" s="17">
        <v>0.22222222222222221</v>
      </c>
      <c r="B10" s="19">
        <v>0.30434782608695654</v>
      </c>
      <c r="C10" s="19">
        <v>0.1206896551724138</v>
      </c>
      <c r="D10" s="10" t="s">
        <v>3</v>
      </c>
      <c r="E10" s="23">
        <f>SQRT((0.444-Table2[[#This Row],[Attr 1]])^2+(0.826-Table2[[#This Row],[Attr 2]])^2+(0.569-Table2[[#This Row],[Attr 3]])^2)</f>
        <v>0.72269532898980504</v>
      </c>
      <c r="F10" s="24">
        <f>ABS(0.444-Table2[[#This Row],[Attr 1]])+ABS(0.826-Table2[[#This Row],[Attr 2]])+ABS(0.569-Table2[[#This Row],[Attr 3]])</f>
        <v>1.1917402965184074</v>
      </c>
    </row>
    <row r="11" spans="1:6" x14ac:dyDescent="0.35">
      <c r="A11" s="17">
        <v>0.94444444444444442</v>
      </c>
      <c r="B11" s="19">
        <v>4.3478260869565216E-2</v>
      </c>
      <c r="C11" s="19">
        <v>0.62068965517241381</v>
      </c>
      <c r="D11" s="10" t="s">
        <v>3</v>
      </c>
      <c r="E11" s="23">
        <f>SQRT((0.444-Table2[[#This Row],[Attr 1]])^2+(0.826-Table2[[#This Row],[Attr 2]])^2+(0.569-Table2[[#This Row],[Attr 3]])^2)</f>
        <v>0.93029927154592129</v>
      </c>
      <c r="F11" s="24">
        <f>ABS(0.444-Table2[[#This Row],[Attr 1]])+ABS(0.826-Table2[[#This Row],[Attr 2]])+ABS(0.569-Table2[[#This Row],[Attr 3]])</f>
        <v>1.3346558387472931</v>
      </c>
    </row>
    <row r="12" spans="1:6" x14ac:dyDescent="0.35">
      <c r="A12" s="17">
        <v>0.33333333333333331</v>
      </c>
      <c r="B12" s="19">
        <v>0</v>
      </c>
      <c r="C12" s="19">
        <v>1</v>
      </c>
      <c r="D12" s="10" t="s">
        <v>3</v>
      </c>
      <c r="E12" s="23">
        <f>SQRT((0.444-Table2[[#This Row],[Attr 1]])^2+(0.826-Table2[[#This Row],[Attr 2]])^2+(0.569-Table2[[#This Row],[Attr 3]])^2)</f>
        <v>0.93823457147512479</v>
      </c>
      <c r="F12" s="24">
        <f>ABS(0.444-Table2[[#This Row],[Attr 1]])+ABS(0.826-Table2[[#This Row],[Attr 2]])+ABS(0.569-Table2[[#This Row],[Attr 3]])</f>
        <v>1.3676666666666666</v>
      </c>
    </row>
    <row r="13" spans="1:6" x14ac:dyDescent="0.35">
      <c r="A13" s="17">
        <v>0.22222222222222221</v>
      </c>
      <c r="B13" s="19">
        <v>8.6956521739130432E-2</v>
      </c>
      <c r="C13" s="19">
        <v>0</v>
      </c>
      <c r="D13" s="10" t="s">
        <v>4</v>
      </c>
      <c r="E13" s="23">
        <f>SQRT((0.444-Table2[[#This Row],[Attr 1]])^2+(0.826-Table2[[#This Row],[Attr 2]])^2+(0.569-Table2[[#This Row],[Attr 3]])^2)</f>
        <v>0.95871353671259574</v>
      </c>
      <c r="F13" s="24">
        <f>ABS(0.444-Table2[[#This Row],[Attr 1]])+ABS(0.826-Table2[[#This Row],[Attr 2]])+ABS(0.569-Table2[[#This Row],[Attr 3]])</f>
        <v>1.5298212560386473</v>
      </c>
    </row>
    <row r="14" spans="1:6" x14ac:dyDescent="0.35">
      <c r="A14" s="18">
        <v>0.94444444444444442</v>
      </c>
      <c r="B14" s="20">
        <v>0</v>
      </c>
      <c r="C14" s="20">
        <v>0.77586206896551724</v>
      </c>
      <c r="D14" s="25" t="s">
        <v>4</v>
      </c>
      <c r="E14" s="26">
        <f>SQRT((0.444-Table2[[#This Row],[Attr 1]])^2+(0.826-Table2[[#This Row],[Attr 2]])^2+(0.569-Table2[[#This Row],[Attr 3]])^2)</f>
        <v>0.98768039241042083</v>
      </c>
      <c r="F14" s="27">
        <f>ABS(0.444-Table2[[#This Row],[Attr 1]])+ABS(0.826-Table2[[#This Row],[Attr 2]])+ABS(0.569-Table2[[#This Row],[Attr 3]])</f>
        <v>1.5333065134099617</v>
      </c>
    </row>
    <row r="18" spans="1:4" x14ac:dyDescent="0.35">
      <c r="A18" s="19">
        <f>((40-MIN(Table1[Attr 1]))/(MAX(Table1[Attr 1])-MIN(Table1[Attr 1])))</f>
        <v>0.44444444444444442</v>
      </c>
      <c r="B18" s="19">
        <f>((45-MIN(Table1[Attr 2]))/(MAX(Table1[Attr 2])-MIN(Table1[Attr 2])))</f>
        <v>0.82608695652173914</v>
      </c>
      <c r="C18" s="19">
        <f>((50-MIN(Table1[Attr 3]))/(MAX(Table1[Attr 3])-MIN(Table1[Attr 3])))</f>
        <v>0.56896551724137934</v>
      </c>
      <c r="D18" s="10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42DE-4ACE-4A77-B11B-CF8FB37BC420}">
  <dimension ref="A1:F15"/>
  <sheetViews>
    <sheetView tabSelected="1" workbookViewId="0">
      <selection activeCell="F2" sqref="F2"/>
    </sheetView>
  </sheetViews>
  <sheetFormatPr defaultRowHeight="14.5" x14ac:dyDescent="0.35"/>
  <cols>
    <col min="1" max="1" width="17.90625" customWidth="1"/>
    <col min="2" max="2" width="10.81640625" bestFit="1" customWidth="1"/>
    <col min="3" max="3" width="10.81640625" customWidth="1"/>
    <col min="4" max="4" width="14.6328125" customWidth="1"/>
    <col min="5" max="5" width="23.26953125" bestFit="1" customWidth="1"/>
    <col min="6" max="6" width="23.453125" bestFit="1" customWidth="1"/>
  </cols>
  <sheetData>
    <row r="1" spans="1:6" x14ac:dyDescent="0.35">
      <c r="A1" s="1" t="s">
        <v>0</v>
      </c>
      <c r="B1" s="2" t="s">
        <v>1</v>
      </c>
      <c r="C1" s="3" t="s">
        <v>7</v>
      </c>
      <c r="D1" s="3" t="s">
        <v>2</v>
      </c>
      <c r="E1" s="5" t="s">
        <v>6</v>
      </c>
      <c r="F1" s="5" t="s">
        <v>8</v>
      </c>
    </row>
    <row r="2" spans="1:6" x14ac:dyDescent="0.35">
      <c r="A2" s="4">
        <v>66</v>
      </c>
      <c r="B2" s="4">
        <v>85</v>
      </c>
      <c r="C2" s="13">
        <v>77</v>
      </c>
      <c r="D2" s="6" t="s">
        <v>10</v>
      </c>
      <c r="E2" s="12">
        <f>SQRT((Table14[[#This Row],[Attr 1]]-60)^2+(Table14[[#This Row],[Attr 2]]-70)^2+(Table14[[#This Row],[Attr 3]]-80)^2)</f>
        <v>16.431676725154983</v>
      </c>
      <c r="F2" s="11">
        <f>ABS(Table14[[#This Row],[Attr 1]]-60)+ABS(Table14[[#This Row],[Attr 2]]-70)+ABS(Table14[[#This Row],[Attr 3]]-80)</f>
        <v>24</v>
      </c>
    </row>
    <row r="3" spans="1:6" x14ac:dyDescent="0.35">
      <c r="A3" s="4">
        <v>51</v>
      </c>
      <c r="B3" s="5">
        <v>86</v>
      </c>
      <c r="C3" s="6">
        <v>56</v>
      </c>
      <c r="D3" s="6" t="s">
        <v>11</v>
      </c>
      <c r="E3" s="12">
        <f>SQRT((Table14[[#This Row],[Attr 1]]-60)^2+(Table14[[#This Row],[Attr 2]]-70)^2+(Table14[[#This Row],[Attr 3]]-80)^2)</f>
        <v>30.215889859476256</v>
      </c>
      <c r="F3" s="11">
        <f>ABS(Table14[[#This Row],[Attr 1]]-60)+ABS(Table14[[#This Row],[Attr 2]]-70)+ABS(Table14[[#This Row],[Attr 3]]-80)</f>
        <v>49</v>
      </c>
    </row>
    <row r="4" spans="1:6" x14ac:dyDescent="0.35">
      <c r="A4" s="4">
        <v>72</v>
      </c>
      <c r="B4" s="5">
        <v>89</v>
      </c>
      <c r="C4" s="6">
        <v>54</v>
      </c>
      <c r="D4" s="6" t="s">
        <v>10</v>
      </c>
      <c r="E4" s="12">
        <f>SQRT((Table14[[#This Row],[Attr 1]]-60)^2+(Table14[[#This Row],[Attr 2]]-70)^2+(Table14[[#This Row],[Attr 3]]-80)^2)</f>
        <v>34.365680554879162</v>
      </c>
      <c r="F4" s="11">
        <f>ABS(Table14[[#This Row],[Attr 1]]-60)+ABS(Table14[[#This Row],[Attr 2]]-70)+ABS(Table14[[#This Row],[Attr 3]]-80)</f>
        <v>57</v>
      </c>
    </row>
    <row r="5" spans="1:6" x14ac:dyDescent="0.35">
      <c r="A5" s="4">
        <v>89</v>
      </c>
      <c r="B5" s="5">
        <v>70</v>
      </c>
      <c r="C5" s="6">
        <v>49</v>
      </c>
      <c r="D5" s="6" t="s">
        <v>11</v>
      </c>
      <c r="E5" s="12">
        <f>SQRT((Table14[[#This Row],[Attr 1]]-60)^2+(Table14[[#This Row],[Attr 2]]-70)^2+(Table14[[#This Row],[Attr 3]]-80)^2)</f>
        <v>42.449970553582247</v>
      </c>
      <c r="F5" s="11">
        <f>ABS(Table14[[#This Row],[Attr 1]]-60)+ABS(Table14[[#This Row],[Attr 2]]-70)+ABS(Table14[[#This Row],[Attr 3]]-80)</f>
        <v>60</v>
      </c>
    </row>
    <row r="6" spans="1:6" x14ac:dyDescent="0.35">
      <c r="A6" s="4">
        <v>54</v>
      </c>
      <c r="B6" s="5">
        <v>80</v>
      </c>
      <c r="C6" s="6">
        <v>56</v>
      </c>
      <c r="D6" s="6" t="s">
        <v>11</v>
      </c>
      <c r="E6" s="12">
        <f>SQRT((Table14[[#This Row],[Attr 1]]-60)^2+(Table14[[#This Row],[Attr 2]]-70)^2+(Table14[[#This Row],[Attr 3]]-80)^2)</f>
        <v>26.683328128252668</v>
      </c>
      <c r="F6" s="11">
        <f>ABS(Table14[[#This Row],[Attr 1]]-60)+ABS(Table14[[#This Row],[Attr 2]]-70)+ABS(Table14[[#This Row],[Attr 3]]-80)</f>
        <v>40</v>
      </c>
    </row>
    <row r="7" spans="1:6" x14ac:dyDescent="0.35">
      <c r="A7" s="4">
        <v>43</v>
      </c>
      <c r="B7" s="5">
        <v>48</v>
      </c>
      <c r="C7" s="6">
        <v>70</v>
      </c>
      <c r="D7" s="6" t="s">
        <v>12</v>
      </c>
      <c r="E7" s="12">
        <f>SQRT((Table14[[#This Row],[Attr 1]]-60)^2+(Table14[[#This Row],[Attr 2]]-70)^2+(Table14[[#This Row],[Attr 3]]-80)^2)</f>
        <v>29.546573405388315</v>
      </c>
      <c r="F7" s="11">
        <f>ABS(Table14[[#This Row],[Attr 1]]-60)+ABS(Table14[[#This Row],[Attr 2]]-70)+ABS(Table14[[#This Row],[Attr 3]]-80)</f>
        <v>49</v>
      </c>
    </row>
    <row r="8" spans="1:6" x14ac:dyDescent="0.35">
      <c r="A8" s="4">
        <v>52</v>
      </c>
      <c r="B8" s="5">
        <v>87</v>
      </c>
      <c r="C8" s="6">
        <v>45</v>
      </c>
      <c r="D8" s="6" t="s">
        <v>11</v>
      </c>
      <c r="E8" s="12">
        <f>SQRT((Table14[[#This Row],[Attr 1]]-60)^2+(Table14[[#This Row],[Attr 2]]-70)^2+(Table14[[#This Row],[Attr 3]]-80)^2)</f>
        <v>39.724048132082409</v>
      </c>
      <c r="F8" s="11">
        <f>ABS(Table14[[#This Row],[Attr 1]]-60)+ABS(Table14[[#This Row],[Attr 2]]-70)+ABS(Table14[[#This Row],[Attr 3]]-80)</f>
        <v>60</v>
      </c>
    </row>
    <row r="9" spans="1:6" x14ac:dyDescent="0.35">
      <c r="A9" s="4">
        <v>57</v>
      </c>
      <c r="B9" s="5">
        <v>83</v>
      </c>
      <c r="C9" s="6">
        <v>83</v>
      </c>
      <c r="D9" s="6" t="s">
        <v>10</v>
      </c>
      <c r="E9" s="12">
        <f>SQRT((Table14[[#This Row],[Attr 1]]-60)^2+(Table14[[#This Row],[Attr 2]]-70)^2+(Table14[[#This Row],[Attr 3]]-80)^2)</f>
        <v>13.674794331177344</v>
      </c>
      <c r="F9" s="11">
        <f>ABS(Table14[[#This Row],[Attr 1]]-60)+ABS(Table14[[#This Row],[Attr 2]]-70)+ABS(Table14[[#This Row],[Attr 3]]-80)</f>
        <v>19</v>
      </c>
    </row>
    <row r="10" spans="1:6" x14ac:dyDescent="0.35">
      <c r="A10" s="4">
        <v>49</v>
      </c>
      <c r="B10" s="5">
        <v>58</v>
      </c>
      <c r="C10" s="6">
        <v>64</v>
      </c>
      <c r="D10" s="6" t="s">
        <v>12</v>
      </c>
      <c r="E10" s="12">
        <f>SQRT((Table14[[#This Row],[Attr 1]]-60)^2+(Table14[[#This Row],[Attr 2]]-70)^2+(Table14[[#This Row],[Attr 3]]-80)^2)</f>
        <v>22.825424421026653</v>
      </c>
      <c r="F10" s="11">
        <f>ABS(Table14[[#This Row],[Attr 1]]-60)+ABS(Table14[[#This Row],[Attr 2]]-70)+ABS(Table14[[#This Row],[Attr 3]]-80)</f>
        <v>39</v>
      </c>
    </row>
    <row r="11" spans="1:6" x14ac:dyDescent="0.35">
      <c r="A11" s="4">
        <v>72</v>
      </c>
      <c r="B11" s="5">
        <v>43</v>
      </c>
      <c r="C11" s="6">
        <v>48</v>
      </c>
      <c r="D11" s="6" t="s">
        <v>12</v>
      </c>
      <c r="E11" s="12">
        <f>SQRT((Table14[[#This Row],[Attr 1]]-60)^2+(Table14[[#This Row],[Attr 2]]-70)^2+(Table14[[#This Row],[Attr 3]]-80)^2)</f>
        <v>43.554563480765133</v>
      </c>
      <c r="F11" s="11">
        <f>ABS(Table14[[#This Row],[Attr 1]]-60)+ABS(Table14[[#This Row],[Attr 2]]-70)+ABS(Table14[[#This Row],[Attr 3]]-80)</f>
        <v>71</v>
      </c>
    </row>
    <row r="15" spans="1:6" x14ac:dyDescent="0.35">
      <c r="A15" s="5">
        <v>60</v>
      </c>
      <c r="B15" s="5">
        <v>70</v>
      </c>
      <c r="C15" s="5">
        <v>80</v>
      </c>
      <c r="D15" s="5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65DE-4B83-4E09-B501-E98674704AB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KNN</vt:lpstr>
      <vt:lpstr>Normalization</vt:lpstr>
      <vt:lpstr>Practice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Mohaimen-Bin-Noor</dc:creator>
  <cp:lastModifiedBy>Mohaimen-Bin-Noor</cp:lastModifiedBy>
  <dcterms:created xsi:type="dcterms:W3CDTF">2015-06-05T18:17:20Z</dcterms:created>
  <dcterms:modified xsi:type="dcterms:W3CDTF">2025-10-29T10:04:50Z</dcterms:modified>
</cp:coreProperties>
</file>