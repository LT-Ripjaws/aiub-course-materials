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iubedu60714-my.sharepoint.com/personal/mohaimen_niloy_aiub_edu/Documents/DWDM - Learning Materials/Data Mining Mid Term Contents/"/>
    </mc:Choice>
  </mc:AlternateContent>
  <xr:revisionPtr revIDLastSave="57" documentId="13_ncr:1_{69E82EEE-0ECE-4151-B6B9-3A8792BB62B6}" xr6:coauthVersionLast="47" xr6:coauthVersionMax="47" xr10:uidLastSave="{1C58C98B-6BB1-4325-B882-3514EDA6DFD1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" l="1"/>
  <c r="J28" i="2"/>
  <c r="J19" i="2"/>
  <c r="J18" i="2"/>
  <c r="J11" i="2"/>
  <c r="J10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D8" i="1"/>
  <c r="D9" i="1" s="1"/>
  <c r="I6" i="1" l="1"/>
  <c r="J11" i="1"/>
  <c r="I12" i="1"/>
  <c r="J6" i="1"/>
  <c r="I11" i="1"/>
  <c r="J12" i="1"/>
  <c r="J13" i="1"/>
  <c r="I13" i="1"/>
</calcChain>
</file>

<file path=xl/sharedStrings.xml><?xml version="1.0" encoding="utf-8"?>
<sst xmlns="http://schemas.openxmlformats.org/spreadsheetml/2006/main" count="94" uniqueCount="74">
  <si>
    <t>N</t>
  </si>
  <si>
    <t>Total</t>
  </si>
  <si>
    <t>Total Instance, T</t>
  </si>
  <si>
    <t>Testing Instance, N</t>
  </si>
  <si>
    <t>Correctly Classified, C</t>
  </si>
  <si>
    <t>Predictive Accuracy, p</t>
  </si>
  <si>
    <t>Standard Error, S</t>
  </si>
  <si>
    <t>=</t>
  </si>
  <si>
    <t>Min</t>
  </si>
  <si>
    <t>Max</t>
  </si>
  <si>
    <t>90% Confidence Accuracy</t>
  </si>
  <si>
    <t>95% Confidence Accuracy</t>
  </si>
  <si>
    <t>99% Confidence Accuracy</t>
  </si>
  <si>
    <r>
      <t xml:space="preserve">Without Confidence Level, p </t>
    </r>
    <r>
      <rPr>
        <sz val="11"/>
        <color theme="1"/>
        <rFont val="Aptos Narrow"/>
        <family val="2"/>
      </rPr>
      <t>± S</t>
    </r>
  </si>
  <si>
    <r>
      <t xml:space="preserve">With Confidence Level, p </t>
    </r>
    <r>
      <rPr>
        <sz val="11"/>
        <color theme="1"/>
        <rFont val="Aptos Narrow"/>
        <family val="2"/>
      </rPr>
      <t>±</t>
    </r>
    <r>
      <rPr>
        <sz val="11"/>
        <color theme="1"/>
        <rFont val="Cambria"/>
        <family val="1"/>
      </rPr>
      <t xml:space="preserve"> (Z</t>
    </r>
    <r>
      <rPr>
        <vertAlign val="subscript"/>
        <sz val="11"/>
        <color theme="1"/>
        <rFont val="Cambria"/>
        <family val="1"/>
      </rPr>
      <t>CL</t>
    </r>
    <r>
      <rPr>
        <sz val="11"/>
        <color theme="1"/>
        <rFont val="Cambria"/>
        <family val="1"/>
      </rPr>
      <t xml:space="preserve"> x S)</t>
    </r>
  </si>
  <si>
    <t>Confidence Level, CL</t>
  </si>
  <si>
    <r>
      <t>From Z-Table, Z</t>
    </r>
    <r>
      <rPr>
        <vertAlign val="subscript"/>
        <sz val="11"/>
        <color theme="1"/>
        <rFont val="Cambria"/>
        <family val="1"/>
      </rPr>
      <t>CL</t>
    </r>
  </si>
  <si>
    <t>SL</t>
  </si>
  <si>
    <t>Attribute 1</t>
  </si>
  <si>
    <t>Attribute 2</t>
  </si>
  <si>
    <t>Attribute 3</t>
  </si>
  <si>
    <t>Actual Class</t>
  </si>
  <si>
    <t>Predicted Class</t>
  </si>
  <si>
    <t>Test 1, P1</t>
  </si>
  <si>
    <t>Count</t>
  </si>
  <si>
    <t>Test 2, P2</t>
  </si>
  <si>
    <t>Test 3, P3</t>
  </si>
  <si>
    <t>Test 4, P4</t>
  </si>
  <si>
    <t>Test 5, P5</t>
  </si>
  <si>
    <t>Test 6, P6</t>
  </si>
  <si>
    <t>Test 7, P7</t>
  </si>
  <si>
    <t>Test 8, P8</t>
  </si>
  <si>
    <t>Test 9, P9</t>
  </si>
  <si>
    <t>Test 10, P10</t>
  </si>
  <si>
    <t>True Positive</t>
  </si>
  <si>
    <t>True Negative</t>
  </si>
  <si>
    <t>False Negative</t>
  </si>
  <si>
    <t>False Postive</t>
  </si>
  <si>
    <t xml:space="preserve">Correctly Classified, </t>
  </si>
  <si>
    <t xml:space="preserve">Incorrectly Classified, </t>
  </si>
  <si>
    <t>FP</t>
  </si>
  <si>
    <t>FN</t>
  </si>
  <si>
    <t>Actually Positive, Correctly Classified as Positive</t>
  </si>
  <si>
    <t>Actually Negative, Correctly Classified as Negative</t>
  </si>
  <si>
    <t>Actually Negative, Incorrectly Classified as Positive</t>
  </si>
  <si>
    <t>Actually Positive, Incorrectly Classified as Negative</t>
  </si>
  <si>
    <t xml:space="preserve">TP = </t>
  </si>
  <si>
    <t xml:space="preserve">TN = </t>
  </si>
  <si>
    <t xml:space="preserve">FP = </t>
  </si>
  <si>
    <t xml:space="preserve">FN = </t>
  </si>
  <si>
    <t>P</t>
  </si>
  <si>
    <t>Type 1 Error</t>
  </si>
  <si>
    <t>Type 2 Error</t>
  </si>
  <si>
    <t>Perfect Classifier</t>
  </si>
  <si>
    <t>Worst Classifier</t>
  </si>
  <si>
    <t>Ultra Liberal Classifier</t>
  </si>
  <si>
    <t>Ulta Conservative Classifier</t>
  </si>
  <si>
    <t>Classifies all the instances correctly</t>
  </si>
  <si>
    <t>Classifies all the instances incorrectly</t>
  </si>
  <si>
    <t>Classifies all the instances as Positive</t>
  </si>
  <si>
    <t>Classifies all the instances as Negative</t>
  </si>
  <si>
    <t>FPR=0, TPR=1, (0,1)</t>
  </si>
  <si>
    <t>FPR=1, TPR=0, (1,0)</t>
  </si>
  <si>
    <t>FPR=1, TPR=1, (1,1)</t>
  </si>
  <si>
    <t>FPR=0, TPR=0, (0,0)</t>
  </si>
  <si>
    <t>Actual, P or +</t>
  </si>
  <si>
    <t>Actual, N or -</t>
  </si>
  <si>
    <t>Predicted, N or -</t>
  </si>
  <si>
    <t>Predicted, P or +</t>
  </si>
  <si>
    <t>True Predictive Accuracy</t>
  </si>
  <si>
    <t>TP</t>
  </si>
  <si>
    <t>TN</t>
  </si>
  <si>
    <t>TP Rate</t>
  </si>
  <si>
    <t>FP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</si>
</sst>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Aptos Narrow"/>
      <family val="2"/>
    </font>
    <font>
      <vertAlign val="subscript"/>
      <sz val="11"/>
      <color theme="1"/>
      <name val="Cambria"/>
      <family val="1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CECE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357FF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4" xfId="0" quotePrefix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12" borderId="0" xfId="0" applyFont="1" applyFill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357FF"/>
      <color rgb="FFCCCCFF"/>
      <color rgb="FF6CECE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3F9CD-87E2-46DA-81F1-596B26005B30}" name="Table1" displayName="Table1" ref="A1:G101" totalsRowShown="0" headerRowDxfId="11" dataDxfId="9" headerRowBorderDxfId="10" tableBorderDxfId="8" totalsRowBorderDxfId="7">
  <autoFilter ref="A1:G101" xr:uid="{9FC3F9CD-87E2-46DA-81F1-596B26005B30}"/>
  <sortState xmlns:xlrd2="http://schemas.microsoft.com/office/spreadsheetml/2017/richdata2" ref="A2:F101">
    <sortCondition ref="A1:A101"/>
  </sortState>
  <tableColumns count="7">
    <tableColumn id="1" xr3:uid="{CA35CEBC-0D27-4CA5-9C93-6AD608BDF720}" name="SL" dataDxfId="6"/>
    <tableColumn id="2" xr3:uid="{AAA940BA-7C5C-48B5-A7DD-7791BE6A3DFB}" name="Attribute 1" dataDxfId="5"/>
    <tableColumn id="3" xr3:uid="{29658AAB-1B1A-4254-96BE-9FA8F44C5FDA}" name="Attribute 2" dataDxfId="4"/>
    <tableColumn id="4" xr3:uid="{81C94800-2B68-4A5D-BCBE-C23DD738005A}" name="Attribute 3" dataDxfId="3"/>
    <tableColumn id="5" xr3:uid="{BB505C37-DF77-44E4-B99E-A5701FA01853}" name="Actual Class" dataDxfId="2"/>
    <tableColumn id="6" xr3:uid="{F954E9CC-A55A-4712-84EC-0F9FB2711598}" name="Predicted Class" dataDxfId="1"/>
    <tableColumn id="7" xr3:uid="{2EDCBB13-F92F-4062-A0AE-3C963868B562}" name="Count" dataDxfId="0">
      <calculatedColumnFormula>IF(Table1[[#This Row],[Actual Class]]=Table1[[#This Row],[Predicted Class]],1,0)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3"/>
  <sheetViews>
    <sheetView workbookViewId="0">
      <selection activeCell="D9" sqref="D9"/>
    </sheetView>
  </sheetViews>
  <sheetFormatPr defaultRowHeight="14" x14ac:dyDescent="0.35"/>
  <cols>
    <col min="1" max="1" width="8.7265625" style="4"/>
    <col min="2" max="2" width="20.08984375" style="4" bestFit="1" customWidth="1"/>
    <col min="3" max="3" width="5.1796875" style="4" bestFit="1" customWidth="1"/>
    <col min="4" max="7" width="8.7265625" style="4"/>
    <col min="8" max="8" width="23.90625" style="4" bestFit="1" customWidth="1"/>
    <col min="9" max="9" width="10.81640625" style="4" customWidth="1"/>
    <col min="10" max="10" width="13.81640625" style="4" customWidth="1"/>
    <col min="11" max="16384" width="8.7265625" style="4"/>
  </cols>
  <sheetData>
    <row r="4" spans="2:10" ht="14.5" x14ac:dyDescent="0.35">
      <c r="B4" s="5" t="s">
        <v>2</v>
      </c>
      <c r="C4" s="7" t="s">
        <v>7</v>
      </c>
      <c r="D4" s="6">
        <v>1000</v>
      </c>
      <c r="H4" s="50" t="s">
        <v>13</v>
      </c>
      <c r="I4" s="50"/>
      <c r="J4" s="50"/>
    </row>
    <row r="5" spans="2:10" x14ac:dyDescent="0.35">
      <c r="B5" s="5" t="s">
        <v>3</v>
      </c>
      <c r="C5" s="7" t="s">
        <v>7</v>
      </c>
      <c r="D5" s="6">
        <v>250</v>
      </c>
      <c r="H5" s="3"/>
      <c r="I5" s="3" t="s">
        <v>8</v>
      </c>
      <c r="J5" s="3" t="s">
        <v>9</v>
      </c>
    </row>
    <row r="6" spans="2:10" x14ac:dyDescent="0.35">
      <c r="B6" s="5" t="s">
        <v>4</v>
      </c>
      <c r="C6" s="7" t="s">
        <v>7</v>
      </c>
      <c r="D6" s="6">
        <v>150</v>
      </c>
      <c r="H6" s="3" t="s">
        <v>69</v>
      </c>
      <c r="I6" s="8">
        <f>D8-D9</f>
        <v>0.56901613323034061</v>
      </c>
      <c r="J6" s="8">
        <f>D8+D9</f>
        <v>0.63098386676965934</v>
      </c>
    </row>
    <row r="7" spans="2:10" x14ac:dyDescent="0.35">
      <c r="B7" s="5"/>
      <c r="C7" s="7"/>
      <c r="D7" s="6"/>
    </row>
    <row r="8" spans="2:10" x14ac:dyDescent="0.35">
      <c r="B8" s="5" t="s">
        <v>5</v>
      </c>
      <c r="C8" s="7" t="s">
        <v>7</v>
      </c>
      <c r="D8" s="6">
        <f>D6/D5</f>
        <v>0.6</v>
      </c>
    </row>
    <row r="9" spans="2:10" ht="16" x14ac:dyDescent="0.35">
      <c r="B9" s="5" t="s">
        <v>6</v>
      </c>
      <c r="C9" s="7" t="s">
        <v>7</v>
      </c>
      <c r="D9" s="6">
        <f>SQRT((D8*(1-D8)/D5))</f>
        <v>3.0983866769659335E-2</v>
      </c>
      <c r="H9" s="50" t="s">
        <v>14</v>
      </c>
      <c r="I9" s="50"/>
      <c r="J9" s="50"/>
    </row>
    <row r="10" spans="2:10" x14ac:dyDescent="0.35">
      <c r="H10" s="3"/>
      <c r="I10" s="3" t="s">
        <v>8</v>
      </c>
      <c r="J10" s="3" t="s">
        <v>9</v>
      </c>
    </row>
    <row r="11" spans="2:10" x14ac:dyDescent="0.35">
      <c r="H11" s="3" t="s">
        <v>10</v>
      </c>
      <c r="I11" s="8">
        <f>D8-(C13*D9)</f>
        <v>0.54918645849775871</v>
      </c>
      <c r="J11" s="8">
        <f>D8+(C13*D9)</f>
        <v>0.65081354150224124</v>
      </c>
    </row>
    <row r="12" spans="2:10" x14ac:dyDescent="0.35">
      <c r="B12" s="3" t="s">
        <v>15</v>
      </c>
      <c r="C12" s="3">
        <v>0.9</v>
      </c>
      <c r="D12" s="3">
        <v>0.95</v>
      </c>
      <c r="E12" s="3">
        <v>0.99</v>
      </c>
      <c r="H12" s="3" t="s">
        <v>11</v>
      </c>
      <c r="I12" s="8">
        <f>D8-(D13*D9)</f>
        <v>0.53927162113146765</v>
      </c>
      <c r="J12" s="8">
        <f>D8+(D13*D9)</f>
        <v>0.66072837886853231</v>
      </c>
    </row>
    <row r="13" spans="2:10" ht="16" x14ac:dyDescent="0.35">
      <c r="B13" s="3" t="s">
        <v>16</v>
      </c>
      <c r="C13" s="3">
        <v>1.64</v>
      </c>
      <c r="D13" s="3">
        <v>1.96</v>
      </c>
      <c r="E13" s="3">
        <v>2.58</v>
      </c>
      <c r="H13" s="3" t="s">
        <v>12</v>
      </c>
      <c r="I13" s="8">
        <f>D8-(E13*D9)</f>
        <v>0.52006162373427889</v>
      </c>
      <c r="J13" s="8">
        <f>D8+(E13*D9)</f>
        <v>0.67993837626572107</v>
      </c>
    </row>
  </sheetData>
  <mergeCells count="2">
    <mergeCell ref="H4:J4"/>
    <mergeCell ref="H9:J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47CD-D002-4E11-B115-20978EA8EF15}">
  <dimension ref="A1:J133"/>
  <sheetViews>
    <sheetView tabSelected="1" zoomScale="115" zoomScaleNormal="115" workbookViewId="0">
      <selection activeCell="G1" sqref="G1:G1048576"/>
    </sheetView>
  </sheetViews>
  <sheetFormatPr defaultRowHeight="14" x14ac:dyDescent="0.3"/>
  <cols>
    <col min="1" max="1" width="7.08984375" style="1" bestFit="1" customWidth="1"/>
    <col min="2" max="2" width="14.54296875" style="1" bestFit="1" customWidth="1"/>
    <col min="3" max="4" width="15.6328125" style="1" bestFit="1" customWidth="1"/>
    <col min="5" max="5" width="15.26953125" style="1" bestFit="1" customWidth="1"/>
    <col min="6" max="6" width="18.08984375" style="1" bestFit="1" customWidth="1"/>
    <col min="7" max="7" width="10.453125" style="1" hidden="1" customWidth="1"/>
    <col min="8" max="8" width="24.36328125" style="1" bestFit="1" customWidth="1"/>
    <col min="9" max="9" width="33.54296875" style="1" bestFit="1" customWidth="1"/>
    <col min="10" max="10" width="18.453125" style="1" bestFit="1" customWidth="1"/>
    <col min="11" max="16384" width="8.7265625" style="1"/>
  </cols>
  <sheetData>
    <row r="1" spans="1:10" x14ac:dyDescent="0.3">
      <c r="A1" s="9" t="s">
        <v>17</v>
      </c>
      <c r="B1" s="10" t="s">
        <v>18</v>
      </c>
      <c r="C1" s="10" t="s">
        <v>19</v>
      </c>
      <c r="D1" s="10" t="s">
        <v>20</v>
      </c>
      <c r="E1" s="11" t="s">
        <v>21</v>
      </c>
      <c r="F1" s="3" t="s">
        <v>22</v>
      </c>
      <c r="G1" s="10" t="s">
        <v>24</v>
      </c>
    </row>
    <row r="2" spans="1:10" x14ac:dyDescent="0.3">
      <c r="A2" s="12">
        <v>1</v>
      </c>
      <c r="B2" s="13">
        <v>12</v>
      </c>
      <c r="C2" s="13">
        <v>11</v>
      </c>
      <c r="D2" s="13">
        <v>10</v>
      </c>
      <c r="E2" s="14">
        <v>0</v>
      </c>
      <c r="F2" s="13">
        <v>0</v>
      </c>
      <c r="G2" s="10">
        <f>IF(Table1[[#This Row],[Actual Class]]=Table1[[#This Row],[Predicted Class]],1,0)</f>
        <v>1</v>
      </c>
    </row>
    <row r="3" spans="1:10" x14ac:dyDescent="0.3">
      <c r="A3" s="12">
        <v>2</v>
      </c>
      <c r="B3" s="13">
        <v>13</v>
      </c>
      <c r="C3" s="13">
        <v>13</v>
      </c>
      <c r="D3" s="13">
        <v>15</v>
      </c>
      <c r="E3" s="14">
        <v>1</v>
      </c>
      <c r="F3" s="13">
        <v>1</v>
      </c>
      <c r="G3" s="3">
        <f>IF(Table1[[#This Row],[Actual Class]]=Table1[[#This Row],[Predicted Class]],1,0)</f>
        <v>1</v>
      </c>
    </row>
    <row r="4" spans="1:10" x14ac:dyDescent="0.3">
      <c r="A4" s="12">
        <v>3</v>
      </c>
      <c r="B4" s="13">
        <v>19</v>
      </c>
      <c r="C4" s="13">
        <v>13</v>
      </c>
      <c r="D4" s="13">
        <v>11</v>
      </c>
      <c r="E4" s="14">
        <v>1</v>
      </c>
      <c r="F4" s="13">
        <v>0</v>
      </c>
      <c r="G4" s="3">
        <f>IF(Table1[[#This Row],[Actual Class]]=Table1[[#This Row],[Predicted Class]],1,0)</f>
        <v>0</v>
      </c>
    </row>
    <row r="5" spans="1:10" x14ac:dyDescent="0.3">
      <c r="A5" s="12">
        <v>4</v>
      </c>
      <c r="B5" s="13">
        <v>19</v>
      </c>
      <c r="C5" s="13">
        <v>7</v>
      </c>
      <c r="D5" s="13">
        <v>19</v>
      </c>
      <c r="E5" s="14">
        <v>0</v>
      </c>
      <c r="F5" s="13">
        <v>0</v>
      </c>
      <c r="G5" s="3">
        <f>IF(Table1[[#This Row],[Actual Class]]=Table1[[#This Row],[Predicted Class]],1,0)</f>
        <v>1</v>
      </c>
      <c r="I5" s="1" t="s">
        <v>70</v>
      </c>
      <c r="J5" s="1">
        <v>1</v>
      </c>
    </row>
    <row r="6" spans="1:10" x14ac:dyDescent="0.3">
      <c r="A6" s="12">
        <v>5</v>
      </c>
      <c r="B6" s="13">
        <v>14</v>
      </c>
      <c r="C6" s="13">
        <v>12</v>
      </c>
      <c r="D6" s="13">
        <v>12</v>
      </c>
      <c r="E6" s="14">
        <v>0</v>
      </c>
      <c r="F6" s="13">
        <v>0</v>
      </c>
      <c r="G6" s="3">
        <f>IF(Table1[[#This Row],[Actual Class]]=Table1[[#This Row],[Predicted Class]],1,0)</f>
        <v>1</v>
      </c>
      <c r="I6" s="1" t="s">
        <v>71</v>
      </c>
      <c r="J6" s="1">
        <v>5</v>
      </c>
    </row>
    <row r="7" spans="1:10" x14ac:dyDescent="0.3">
      <c r="A7" s="12">
        <v>6</v>
      </c>
      <c r="B7" s="13">
        <v>4</v>
      </c>
      <c r="C7" s="13">
        <v>11</v>
      </c>
      <c r="D7" s="13">
        <v>10</v>
      </c>
      <c r="E7" s="14">
        <v>1</v>
      </c>
      <c r="F7" s="13">
        <v>0</v>
      </c>
      <c r="G7" s="3">
        <f>IF(Table1[[#This Row],[Actual Class]]=Table1[[#This Row],[Predicted Class]],1,0)</f>
        <v>0</v>
      </c>
      <c r="I7" s="1" t="s">
        <v>40</v>
      </c>
      <c r="J7" s="1">
        <v>2</v>
      </c>
    </row>
    <row r="8" spans="1:10" x14ac:dyDescent="0.3">
      <c r="A8" s="12">
        <v>7</v>
      </c>
      <c r="B8" s="13">
        <v>5</v>
      </c>
      <c r="C8" s="13">
        <v>6</v>
      </c>
      <c r="D8" s="13">
        <v>13</v>
      </c>
      <c r="E8" s="14">
        <v>0</v>
      </c>
      <c r="F8" s="13">
        <v>0</v>
      </c>
      <c r="G8" s="3">
        <f>IF(Table1[[#This Row],[Actual Class]]=Table1[[#This Row],[Predicted Class]],1,0)</f>
        <v>1</v>
      </c>
      <c r="I8" s="1" t="s">
        <v>41</v>
      </c>
      <c r="J8" s="1">
        <v>2</v>
      </c>
    </row>
    <row r="9" spans="1:10" x14ac:dyDescent="0.3">
      <c r="A9" s="12">
        <v>8</v>
      </c>
      <c r="B9" s="13">
        <v>11</v>
      </c>
      <c r="C9" s="13">
        <v>13</v>
      </c>
      <c r="D9" s="13">
        <v>13</v>
      </c>
      <c r="E9" s="14">
        <v>0</v>
      </c>
      <c r="F9" s="13">
        <v>1</v>
      </c>
      <c r="G9" s="3">
        <f>IF(Table1[[#This Row],[Actual Class]]=Table1[[#This Row],[Predicted Class]],1,0)</f>
        <v>0</v>
      </c>
    </row>
    <row r="10" spans="1:10" x14ac:dyDescent="0.3">
      <c r="A10" s="12">
        <v>9</v>
      </c>
      <c r="B10" s="13">
        <v>8</v>
      </c>
      <c r="C10" s="13">
        <v>5</v>
      </c>
      <c r="D10" s="13">
        <v>19</v>
      </c>
      <c r="E10" s="14">
        <v>0</v>
      </c>
      <c r="F10" s="13">
        <v>1</v>
      </c>
      <c r="G10" s="3">
        <f>IF(Table1[[#This Row],[Actual Class]]=Table1[[#This Row],[Predicted Class]],1,0)</f>
        <v>0</v>
      </c>
      <c r="I10" s="55" t="s">
        <v>72</v>
      </c>
      <c r="J10" s="55">
        <f>J5/3</f>
        <v>0.33333333333333331</v>
      </c>
    </row>
    <row r="11" spans="1:10" x14ac:dyDescent="0.3">
      <c r="A11" s="12">
        <v>10</v>
      </c>
      <c r="B11" s="13">
        <v>7</v>
      </c>
      <c r="C11" s="13">
        <v>10</v>
      </c>
      <c r="D11" s="13">
        <v>13</v>
      </c>
      <c r="E11" s="14">
        <v>0</v>
      </c>
      <c r="F11" s="13">
        <v>0</v>
      </c>
      <c r="G11" s="3">
        <f>IF(Table1[[#This Row],[Actual Class]]=Table1[[#This Row],[Predicted Class]],1,0)</f>
        <v>1</v>
      </c>
      <c r="I11" s="55" t="s">
        <v>73</v>
      </c>
      <c r="J11" s="55">
        <f>J7/7</f>
        <v>0.2857142857142857</v>
      </c>
    </row>
    <row r="12" spans="1:10" x14ac:dyDescent="0.3">
      <c r="A12" s="15">
        <v>11</v>
      </c>
      <c r="B12" s="16">
        <v>16</v>
      </c>
      <c r="C12" s="16">
        <v>10</v>
      </c>
      <c r="D12" s="16">
        <v>16</v>
      </c>
      <c r="E12" s="17">
        <v>0</v>
      </c>
      <c r="F12" s="16">
        <v>1</v>
      </c>
      <c r="G12" s="3">
        <f>IF(Table1[[#This Row],[Actual Class]]=Table1[[#This Row],[Predicted Class]],1,0)</f>
        <v>0</v>
      </c>
    </row>
    <row r="13" spans="1:10" x14ac:dyDescent="0.3">
      <c r="A13" s="15">
        <v>12</v>
      </c>
      <c r="B13" s="16">
        <v>16</v>
      </c>
      <c r="C13" s="16">
        <v>8</v>
      </c>
      <c r="D13" s="16">
        <v>14</v>
      </c>
      <c r="E13" s="17">
        <v>0</v>
      </c>
      <c r="F13" s="16">
        <v>1</v>
      </c>
      <c r="G13" s="3">
        <f>IF(Table1[[#This Row],[Actual Class]]=Table1[[#This Row],[Predicted Class]],1,0)</f>
        <v>0</v>
      </c>
      <c r="I13" s="1" t="s">
        <v>70</v>
      </c>
      <c r="J13" s="1">
        <v>2</v>
      </c>
    </row>
    <row r="14" spans="1:10" x14ac:dyDescent="0.3">
      <c r="A14" s="15">
        <v>13</v>
      </c>
      <c r="B14" s="16">
        <v>18</v>
      </c>
      <c r="C14" s="16">
        <v>9</v>
      </c>
      <c r="D14" s="16">
        <v>16</v>
      </c>
      <c r="E14" s="17">
        <v>0</v>
      </c>
      <c r="F14" s="16">
        <v>1</v>
      </c>
      <c r="G14" s="3">
        <f>IF(Table1[[#This Row],[Actual Class]]=Table1[[#This Row],[Predicted Class]],1,0)</f>
        <v>0</v>
      </c>
      <c r="I14" s="1" t="s">
        <v>71</v>
      </c>
      <c r="J14" s="1">
        <v>1</v>
      </c>
    </row>
    <row r="15" spans="1:10" x14ac:dyDescent="0.3">
      <c r="A15" s="15">
        <v>14</v>
      </c>
      <c r="B15" s="16">
        <v>14</v>
      </c>
      <c r="C15" s="16">
        <v>6</v>
      </c>
      <c r="D15" s="16">
        <v>13</v>
      </c>
      <c r="E15" s="17">
        <v>1</v>
      </c>
      <c r="F15" s="16">
        <v>0</v>
      </c>
      <c r="G15" s="3">
        <f>IF(Table1[[#This Row],[Actual Class]]=Table1[[#This Row],[Predicted Class]],1,0)</f>
        <v>0</v>
      </c>
      <c r="I15" s="1" t="s">
        <v>40</v>
      </c>
      <c r="J15" s="1">
        <v>4</v>
      </c>
    </row>
    <row r="16" spans="1:10" x14ac:dyDescent="0.3">
      <c r="A16" s="15">
        <v>15</v>
      </c>
      <c r="B16" s="16">
        <v>13</v>
      </c>
      <c r="C16" s="16">
        <v>14</v>
      </c>
      <c r="D16" s="16">
        <v>18</v>
      </c>
      <c r="E16" s="17">
        <v>1</v>
      </c>
      <c r="F16" s="16">
        <v>1</v>
      </c>
      <c r="G16" s="3">
        <f>IF(Table1[[#This Row],[Actual Class]]=Table1[[#This Row],[Predicted Class]],1,0)</f>
        <v>1</v>
      </c>
      <c r="I16" s="1" t="s">
        <v>41</v>
      </c>
      <c r="J16" s="1">
        <v>3</v>
      </c>
    </row>
    <row r="17" spans="1:10" x14ac:dyDescent="0.3">
      <c r="A17" s="15">
        <v>16</v>
      </c>
      <c r="B17" s="16">
        <v>20</v>
      </c>
      <c r="C17" s="16">
        <v>14</v>
      </c>
      <c r="D17" s="16">
        <v>20</v>
      </c>
      <c r="E17" s="17">
        <v>0</v>
      </c>
      <c r="F17" s="16">
        <v>1</v>
      </c>
      <c r="G17" s="3">
        <f>IF(Table1[[#This Row],[Actual Class]]=Table1[[#This Row],[Predicted Class]],1,0)</f>
        <v>0</v>
      </c>
    </row>
    <row r="18" spans="1:10" x14ac:dyDescent="0.3">
      <c r="A18" s="15">
        <v>17</v>
      </c>
      <c r="B18" s="16">
        <v>20</v>
      </c>
      <c r="C18" s="16">
        <v>14</v>
      </c>
      <c r="D18" s="16">
        <v>14</v>
      </c>
      <c r="E18" s="17">
        <v>1</v>
      </c>
      <c r="F18" s="16">
        <v>0</v>
      </c>
      <c r="G18" s="3">
        <f>IF(Table1[[#This Row],[Actual Class]]=Table1[[#This Row],[Predicted Class]],1,0)</f>
        <v>0</v>
      </c>
      <c r="I18" s="55" t="s">
        <v>72</v>
      </c>
      <c r="J18" s="55">
        <f>J13/5</f>
        <v>0.4</v>
      </c>
    </row>
    <row r="19" spans="1:10" x14ac:dyDescent="0.3">
      <c r="A19" s="15">
        <v>18</v>
      </c>
      <c r="B19" s="16">
        <v>16</v>
      </c>
      <c r="C19" s="16">
        <v>8</v>
      </c>
      <c r="D19" s="16">
        <v>15</v>
      </c>
      <c r="E19" s="17">
        <v>1</v>
      </c>
      <c r="F19" s="16">
        <v>0</v>
      </c>
      <c r="G19" s="3">
        <f>IF(Table1[[#This Row],[Actual Class]]=Table1[[#This Row],[Predicted Class]],1,0)</f>
        <v>0</v>
      </c>
      <c r="I19" s="55" t="s">
        <v>73</v>
      </c>
      <c r="J19" s="55">
        <f>J15/5</f>
        <v>0.8</v>
      </c>
    </row>
    <row r="20" spans="1:10" x14ac:dyDescent="0.3">
      <c r="A20" s="15">
        <v>19</v>
      </c>
      <c r="B20" s="16">
        <v>19</v>
      </c>
      <c r="C20" s="16">
        <v>6</v>
      </c>
      <c r="D20" s="16">
        <v>11</v>
      </c>
      <c r="E20" s="17">
        <v>0</v>
      </c>
      <c r="F20" s="16">
        <v>0</v>
      </c>
      <c r="G20" s="3">
        <f>IF(Table1[[#This Row],[Actual Class]]=Table1[[#This Row],[Predicted Class]],1,0)</f>
        <v>1</v>
      </c>
    </row>
    <row r="21" spans="1:10" x14ac:dyDescent="0.3">
      <c r="A21" s="15">
        <v>20</v>
      </c>
      <c r="B21" s="16">
        <v>6</v>
      </c>
      <c r="C21" s="16">
        <v>9</v>
      </c>
      <c r="D21" s="16">
        <v>16</v>
      </c>
      <c r="E21" s="17">
        <v>1</v>
      </c>
      <c r="F21" s="16">
        <v>1</v>
      </c>
      <c r="G21" s="3">
        <f>IF(Table1[[#This Row],[Actual Class]]=Table1[[#This Row],[Predicted Class]],1,0)</f>
        <v>1</v>
      </c>
    </row>
    <row r="22" spans="1:10" x14ac:dyDescent="0.3">
      <c r="A22" s="18">
        <v>21</v>
      </c>
      <c r="B22" s="19">
        <v>11</v>
      </c>
      <c r="C22" s="19">
        <v>10</v>
      </c>
      <c r="D22" s="19">
        <v>11</v>
      </c>
      <c r="E22" s="20">
        <v>1</v>
      </c>
      <c r="F22" s="19">
        <v>1</v>
      </c>
      <c r="G22" s="3">
        <f>IF(Table1[[#This Row],[Actual Class]]=Table1[[#This Row],[Predicted Class]],1,0)</f>
        <v>1</v>
      </c>
    </row>
    <row r="23" spans="1:10" x14ac:dyDescent="0.3">
      <c r="A23" s="18">
        <v>22</v>
      </c>
      <c r="B23" s="19">
        <v>10</v>
      </c>
      <c r="C23" s="19">
        <v>14</v>
      </c>
      <c r="D23" s="19">
        <v>20</v>
      </c>
      <c r="E23" s="20">
        <v>1</v>
      </c>
      <c r="F23" s="19">
        <v>0</v>
      </c>
      <c r="G23" s="3">
        <f>IF(Table1[[#This Row],[Actual Class]]=Table1[[#This Row],[Predicted Class]],1,0)</f>
        <v>0</v>
      </c>
      <c r="I23" s="1" t="s">
        <v>70</v>
      </c>
      <c r="J23" s="1">
        <v>3</v>
      </c>
    </row>
    <row r="24" spans="1:10" x14ac:dyDescent="0.3">
      <c r="A24" s="18">
        <v>23</v>
      </c>
      <c r="B24" s="19">
        <v>16</v>
      </c>
      <c r="C24" s="19">
        <v>15</v>
      </c>
      <c r="D24" s="19">
        <v>11</v>
      </c>
      <c r="E24" s="20">
        <v>0</v>
      </c>
      <c r="F24" s="19">
        <v>0</v>
      </c>
      <c r="G24" s="3">
        <f>IF(Table1[[#This Row],[Actual Class]]=Table1[[#This Row],[Predicted Class]],1,0)</f>
        <v>1</v>
      </c>
      <c r="I24" s="1" t="s">
        <v>71</v>
      </c>
      <c r="J24" s="1">
        <v>3</v>
      </c>
    </row>
    <row r="25" spans="1:10" x14ac:dyDescent="0.3">
      <c r="A25" s="18">
        <v>24</v>
      </c>
      <c r="B25" s="19">
        <v>12</v>
      </c>
      <c r="C25" s="19">
        <v>10</v>
      </c>
      <c r="D25" s="19">
        <v>12</v>
      </c>
      <c r="E25" s="20">
        <v>1</v>
      </c>
      <c r="F25" s="19">
        <v>1</v>
      </c>
      <c r="G25" s="3">
        <f>IF(Table1[[#This Row],[Actual Class]]=Table1[[#This Row],[Predicted Class]],1,0)</f>
        <v>1</v>
      </c>
      <c r="I25" s="1" t="s">
        <v>40</v>
      </c>
      <c r="J25" s="1">
        <v>1</v>
      </c>
    </row>
    <row r="26" spans="1:10" x14ac:dyDescent="0.3">
      <c r="A26" s="18">
        <v>25</v>
      </c>
      <c r="B26" s="19">
        <v>0</v>
      </c>
      <c r="C26" s="19">
        <v>9</v>
      </c>
      <c r="D26" s="19">
        <v>10</v>
      </c>
      <c r="E26" s="20">
        <v>1</v>
      </c>
      <c r="F26" s="19">
        <v>0</v>
      </c>
      <c r="G26" s="3">
        <f>IF(Table1[[#This Row],[Actual Class]]=Table1[[#This Row],[Predicted Class]],1,0)</f>
        <v>0</v>
      </c>
      <c r="I26" s="1" t="s">
        <v>41</v>
      </c>
      <c r="J26" s="1">
        <v>3</v>
      </c>
    </row>
    <row r="27" spans="1:10" x14ac:dyDescent="0.3">
      <c r="A27" s="18">
        <v>26</v>
      </c>
      <c r="B27" s="19">
        <v>13</v>
      </c>
      <c r="C27" s="19">
        <v>8</v>
      </c>
      <c r="D27" s="19">
        <v>13</v>
      </c>
      <c r="E27" s="20">
        <v>0</v>
      </c>
      <c r="F27" s="19">
        <v>0</v>
      </c>
      <c r="G27" s="3">
        <f>IF(Table1[[#This Row],[Actual Class]]=Table1[[#This Row],[Predicted Class]],1,0)</f>
        <v>1</v>
      </c>
    </row>
    <row r="28" spans="1:10" x14ac:dyDescent="0.3">
      <c r="A28" s="18">
        <v>27</v>
      </c>
      <c r="B28" s="19">
        <v>4</v>
      </c>
      <c r="C28" s="19">
        <v>8</v>
      </c>
      <c r="D28" s="19">
        <v>19</v>
      </c>
      <c r="E28" s="20">
        <v>1</v>
      </c>
      <c r="F28" s="19">
        <v>0</v>
      </c>
      <c r="G28" s="3">
        <f>IF(Table1[[#This Row],[Actual Class]]=Table1[[#This Row],[Predicted Class]],1,0)</f>
        <v>0</v>
      </c>
      <c r="I28" s="55" t="s">
        <v>72</v>
      </c>
      <c r="J28" s="55">
        <f>J23/6</f>
        <v>0.5</v>
      </c>
    </row>
    <row r="29" spans="1:10" x14ac:dyDescent="0.3">
      <c r="A29" s="18">
        <v>28</v>
      </c>
      <c r="B29" s="19">
        <v>6</v>
      </c>
      <c r="C29" s="19">
        <v>6</v>
      </c>
      <c r="D29" s="19">
        <v>13</v>
      </c>
      <c r="E29" s="20">
        <v>0</v>
      </c>
      <c r="F29" s="19">
        <v>1</v>
      </c>
      <c r="G29" s="3">
        <f>IF(Table1[[#This Row],[Actual Class]]=Table1[[#This Row],[Predicted Class]],1,0)</f>
        <v>0</v>
      </c>
      <c r="I29" s="55" t="s">
        <v>73</v>
      </c>
      <c r="J29" s="55">
        <f>J25/4</f>
        <v>0.25</v>
      </c>
    </row>
    <row r="30" spans="1:10" x14ac:dyDescent="0.3">
      <c r="A30" s="18">
        <v>29</v>
      </c>
      <c r="B30" s="19">
        <v>16</v>
      </c>
      <c r="C30" s="19">
        <v>10</v>
      </c>
      <c r="D30" s="19">
        <v>13</v>
      </c>
      <c r="E30" s="20">
        <v>0</v>
      </c>
      <c r="F30" s="19">
        <v>0</v>
      </c>
      <c r="G30" s="3">
        <f>IF(Table1[[#This Row],[Actual Class]]=Table1[[#This Row],[Predicted Class]],1,0)</f>
        <v>1</v>
      </c>
    </row>
    <row r="31" spans="1:10" x14ac:dyDescent="0.3">
      <c r="A31" s="18">
        <v>30</v>
      </c>
      <c r="B31" s="19">
        <v>7</v>
      </c>
      <c r="C31" s="19">
        <v>6</v>
      </c>
      <c r="D31" s="19">
        <v>15</v>
      </c>
      <c r="E31" s="20">
        <v>1</v>
      </c>
      <c r="F31" s="19">
        <v>1</v>
      </c>
      <c r="G31" s="3">
        <f>IF(Table1[[#This Row],[Actual Class]]=Table1[[#This Row],[Predicted Class]],1,0)</f>
        <v>1</v>
      </c>
    </row>
    <row r="32" spans="1:10" x14ac:dyDescent="0.3">
      <c r="A32" s="21">
        <v>31</v>
      </c>
      <c r="B32" s="22">
        <v>15</v>
      </c>
      <c r="C32" s="22">
        <v>8</v>
      </c>
      <c r="D32" s="22">
        <v>20</v>
      </c>
      <c r="E32" s="23">
        <v>0</v>
      </c>
      <c r="F32" s="22">
        <v>1</v>
      </c>
      <c r="G32" s="3">
        <f>IF(Table1[[#This Row],[Actual Class]]=Table1[[#This Row],[Predicted Class]],1,0)</f>
        <v>0</v>
      </c>
    </row>
    <row r="33" spans="1:7" x14ac:dyDescent="0.3">
      <c r="A33" s="21">
        <v>32</v>
      </c>
      <c r="B33" s="22">
        <v>14</v>
      </c>
      <c r="C33" s="22">
        <v>9</v>
      </c>
      <c r="D33" s="22">
        <v>13</v>
      </c>
      <c r="E33" s="23">
        <v>1</v>
      </c>
      <c r="F33" s="22">
        <v>1</v>
      </c>
      <c r="G33" s="3">
        <f>IF(Table1[[#This Row],[Actual Class]]=Table1[[#This Row],[Predicted Class]],1,0)</f>
        <v>1</v>
      </c>
    </row>
    <row r="34" spans="1:7" x14ac:dyDescent="0.3">
      <c r="A34" s="21">
        <v>33</v>
      </c>
      <c r="B34" s="22">
        <v>3</v>
      </c>
      <c r="C34" s="22">
        <v>7</v>
      </c>
      <c r="D34" s="22">
        <v>15</v>
      </c>
      <c r="E34" s="23">
        <v>1</v>
      </c>
      <c r="F34" s="22">
        <v>1</v>
      </c>
      <c r="G34" s="3">
        <f>IF(Table1[[#This Row],[Actual Class]]=Table1[[#This Row],[Predicted Class]],1,0)</f>
        <v>1</v>
      </c>
    </row>
    <row r="35" spans="1:7" x14ac:dyDescent="0.3">
      <c r="A35" s="21">
        <v>34</v>
      </c>
      <c r="B35" s="22">
        <v>12</v>
      </c>
      <c r="C35" s="22">
        <v>7</v>
      </c>
      <c r="D35" s="22">
        <v>19</v>
      </c>
      <c r="E35" s="23">
        <v>0</v>
      </c>
      <c r="F35" s="22">
        <v>1</v>
      </c>
      <c r="G35" s="3">
        <f>IF(Table1[[#This Row],[Actual Class]]=Table1[[#This Row],[Predicted Class]],1,0)</f>
        <v>0</v>
      </c>
    </row>
    <row r="36" spans="1:7" x14ac:dyDescent="0.3">
      <c r="A36" s="21">
        <v>35</v>
      </c>
      <c r="B36" s="22">
        <v>18</v>
      </c>
      <c r="C36" s="22">
        <v>5</v>
      </c>
      <c r="D36" s="22">
        <v>18</v>
      </c>
      <c r="E36" s="23">
        <v>0</v>
      </c>
      <c r="F36" s="22">
        <v>0</v>
      </c>
      <c r="G36" s="3">
        <f>IF(Table1[[#This Row],[Actual Class]]=Table1[[#This Row],[Predicted Class]],1,0)</f>
        <v>1</v>
      </c>
    </row>
    <row r="37" spans="1:7" x14ac:dyDescent="0.3">
      <c r="A37" s="21">
        <v>36</v>
      </c>
      <c r="B37" s="22">
        <v>7</v>
      </c>
      <c r="C37" s="22">
        <v>10</v>
      </c>
      <c r="D37" s="22">
        <v>11</v>
      </c>
      <c r="E37" s="23">
        <v>1</v>
      </c>
      <c r="F37" s="22">
        <v>1</v>
      </c>
      <c r="G37" s="3">
        <f>IF(Table1[[#This Row],[Actual Class]]=Table1[[#This Row],[Predicted Class]],1,0)</f>
        <v>1</v>
      </c>
    </row>
    <row r="38" spans="1:7" x14ac:dyDescent="0.3">
      <c r="A38" s="21">
        <v>37</v>
      </c>
      <c r="B38" s="22">
        <v>0</v>
      </c>
      <c r="C38" s="22">
        <v>6</v>
      </c>
      <c r="D38" s="22">
        <v>15</v>
      </c>
      <c r="E38" s="23">
        <v>0</v>
      </c>
      <c r="F38" s="22">
        <v>0</v>
      </c>
      <c r="G38" s="3">
        <f>IF(Table1[[#This Row],[Actual Class]]=Table1[[#This Row],[Predicted Class]],1,0)</f>
        <v>1</v>
      </c>
    </row>
    <row r="39" spans="1:7" x14ac:dyDescent="0.3">
      <c r="A39" s="21">
        <v>38</v>
      </c>
      <c r="B39" s="22">
        <v>14</v>
      </c>
      <c r="C39" s="22">
        <v>6</v>
      </c>
      <c r="D39" s="22">
        <v>17</v>
      </c>
      <c r="E39" s="23">
        <v>1</v>
      </c>
      <c r="F39" s="22">
        <v>1</v>
      </c>
      <c r="G39" s="3">
        <f>IF(Table1[[#This Row],[Actual Class]]=Table1[[#This Row],[Predicted Class]],1,0)</f>
        <v>1</v>
      </c>
    </row>
    <row r="40" spans="1:7" x14ac:dyDescent="0.3">
      <c r="A40" s="21">
        <v>39</v>
      </c>
      <c r="B40" s="22">
        <v>17</v>
      </c>
      <c r="C40" s="22">
        <v>10</v>
      </c>
      <c r="D40" s="22">
        <v>11</v>
      </c>
      <c r="E40" s="23">
        <v>0</v>
      </c>
      <c r="F40" s="22">
        <v>0</v>
      </c>
      <c r="G40" s="3">
        <f>IF(Table1[[#This Row],[Actual Class]]=Table1[[#This Row],[Predicted Class]],1,0)</f>
        <v>1</v>
      </c>
    </row>
    <row r="41" spans="1:7" x14ac:dyDescent="0.3">
      <c r="A41" s="21">
        <v>40</v>
      </c>
      <c r="B41" s="22">
        <v>8</v>
      </c>
      <c r="C41" s="22">
        <v>5</v>
      </c>
      <c r="D41" s="22">
        <v>12</v>
      </c>
      <c r="E41" s="23">
        <v>1</v>
      </c>
      <c r="F41" s="22">
        <v>0</v>
      </c>
      <c r="G41" s="3">
        <f>IF(Table1[[#This Row],[Actual Class]]=Table1[[#This Row],[Predicted Class]],1,0)</f>
        <v>0</v>
      </c>
    </row>
    <row r="42" spans="1:7" x14ac:dyDescent="0.3">
      <c r="A42" s="24">
        <v>41</v>
      </c>
      <c r="B42" s="25">
        <v>13</v>
      </c>
      <c r="C42" s="25">
        <v>10</v>
      </c>
      <c r="D42" s="25">
        <v>14</v>
      </c>
      <c r="E42" s="26">
        <v>0</v>
      </c>
      <c r="F42" s="25">
        <v>0</v>
      </c>
      <c r="G42" s="3">
        <f>IF(Table1[[#This Row],[Actual Class]]=Table1[[#This Row],[Predicted Class]],1,0)</f>
        <v>1</v>
      </c>
    </row>
    <row r="43" spans="1:7" x14ac:dyDescent="0.3">
      <c r="A43" s="24">
        <v>42</v>
      </c>
      <c r="B43" s="25">
        <v>11</v>
      </c>
      <c r="C43" s="25">
        <v>6</v>
      </c>
      <c r="D43" s="25">
        <v>15</v>
      </c>
      <c r="E43" s="26">
        <v>0</v>
      </c>
      <c r="F43" s="25">
        <v>0</v>
      </c>
      <c r="G43" s="3">
        <f>IF(Table1[[#This Row],[Actual Class]]=Table1[[#This Row],[Predicted Class]],1,0)</f>
        <v>1</v>
      </c>
    </row>
    <row r="44" spans="1:7" x14ac:dyDescent="0.3">
      <c r="A44" s="24">
        <v>43</v>
      </c>
      <c r="B44" s="25">
        <v>3</v>
      </c>
      <c r="C44" s="25">
        <v>14</v>
      </c>
      <c r="D44" s="25">
        <v>14</v>
      </c>
      <c r="E44" s="26">
        <v>1</v>
      </c>
      <c r="F44" s="25">
        <v>1</v>
      </c>
      <c r="G44" s="3">
        <f>IF(Table1[[#This Row],[Actual Class]]=Table1[[#This Row],[Predicted Class]],1,0)</f>
        <v>1</v>
      </c>
    </row>
    <row r="45" spans="1:7" x14ac:dyDescent="0.3">
      <c r="A45" s="24">
        <v>44</v>
      </c>
      <c r="B45" s="25">
        <v>16</v>
      </c>
      <c r="C45" s="25">
        <v>6</v>
      </c>
      <c r="D45" s="25">
        <v>17</v>
      </c>
      <c r="E45" s="26">
        <v>0</v>
      </c>
      <c r="F45" s="25">
        <v>0</v>
      </c>
      <c r="G45" s="3">
        <f>IF(Table1[[#This Row],[Actual Class]]=Table1[[#This Row],[Predicted Class]],1,0)</f>
        <v>1</v>
      </c>
    </row>
    <row r="46" spans="1:7" x14ac:dyDescent="0.3">
      <c r="A46" s="24">
        <v>45</v>
      </c>
      <c r="B46" s="25">
        <v>4</v>
      </c>
      <c r="C46" s="25">
        <v>8</v>
      </c>
      <c r="D46" s="25">
        <v>20</v>
      </c>
      <c r="E46" s="26">
        <v>0</v>
      </c>
      <c r="F46" s="25">
        <v>0</v>
      </c>
      <c r="G46" s="3">
        <f>IF(Table1[[#This Row],[Actual Class]]=Table1[[#This Row],[Predicted Class]],1,0)</f>
        <v>1</v>
      </c>
    </row>
    <row r="47" spans="1:7" x14ac:dyDescent="0.3">
      <c r="A47" s="24">
        <v>46</v>
      </c>
      <c r="B47" s="25">
        <v>13</v>
      </c>
      <c r="C47" s="25">
        <v>5</v>
      </c>
      <c r="D47" s="25">
        <v>19</v>
      </c>
      <c r="E47" s="26">
        <v>1</v>
      </c>
      <c r="F47" s="25">
        <v>0</v>
      </c>
      <c r="G47" s="3">
        <f>IF(Table1[[#This Row],[Actual Class]]=Table1[[#This Row],[Predicted Class]],1,0)</f>
        <v>0</v>
      </c>
    </row>
    <row r="48" spans="1:7" x14ac:dyDescent="0.3">
      <c r="A48" s="24">
        <v>47</v>
      </c>
      <c r="B48" s="25">
        <v>8</v>
      </c>
      <c r="C48" s="25">
        <v>7</v>
      </c>
      <c r="D48" s="25">
        <v>11</v>
      </c>
      <c r="E48" s="26">
        <v>1</v>
      </c>
      <c r="F48" s="25">
        <v>0</v>
      </c>
      <c r="G48" s="3">
        <f>IF(Table1[[#This Row],[Actual Class]]=Table1[[#This Row],[Predicted Class]],1,0)</f>
        <v>0</v>
      </c>
    </row>
    <row r="49" spans="1:7" x14ac:dyDescent="0.3">
      <c r="A49" s="24">
        <v>48</v>
      </c>
      <c r="B49" s="25">
        <v>17</v>
      </c>
      <c r="C49" s="25">
        <v>12</v>
      </c>
      <c r="D49" s="25">
        <v>16</v>
      </c>
      <c r="E49" s="26">
        <v>0</v>
      </c>
      <c r="F49" s="25">
        <v>0</v>
      </c>
      <c r="G49" s="3">
        <f>IF(Table1[[#This Row],[Actual Class]]=Table1[[#This Row],[Predicted Class]],1,0)</f>
        <v>1</v>
      </c>
    </row>
    <row r="50" spans="1:7" x14ac:dyDescent="0.3">
      <c r="A50" s="24">
        <v>49</v>
      </c>
      <c r="B50" s="25">
        <v>13</v>
      </c>
      <c r="C50" s="25">
        <v>14</v>
      </c>
      <c r="D50" s="25">
        <v>10</v>
      </c>
      <c r="E50" s="26">
        <v>0</v>
      </c>
      <c r="F50" s="25">
        <v>0</v>
      </c>
      <c r="G50" s="3">
        <f>IF(Table1[[#This Row],[Actual Class]]=Table1[[#This Row],[Predicted Class]],1,0)</f>
        <v>1</v>
      </c>
    </row>
    <row r="51" spans="1:7" x14ac:dyDescent="0.3">
      <c r="A51" s="24">
        <v>50</v>
      </c>
      <c r="B51" s="25">
        <v>4</v>
      </c>
      <c r="C51" s="25">
        <v>11</v>
      </c>
      <c r="D51" s="25">
        <v>18</v>
      </c>
      <c r="E51" s="26">
        <v>1</v>
      </c>
      <c r="F51" s="25">
        <v>0</v>
      </c>
      <c r="G51" s="3">
        <f>IF(Table1[[#This Row],[Actual Class]]=Table1[[#This Row],[Predicted Class]],1,0)</f>
        <v>0</v>
      </c>
    </row>
    <row r="52" spans="1:7" x14ac:dyDescent="0.3">
      <c r="A52" s="27">
        <v>51</v>
      </c>
      <c r="B52" s="28">
        <v>0</v>
      </c>
      <c r="C52" s="28">
        <v>6</v>
      </c>
      <c r="D52" s="28">
        <v>14</v>
      </c>
      <c r="E52" s="29">
        <v>0</v>
      </c>
      <c r="F52" s="28">
        <v>1</v>
      </c>
      <c r="G52" s="3">
        <f>IF(Table1[[#This Row],[Actual Class]]=Table1[[#This Row],[Predicted Class]],1,0)</f>
        <v>0</v>
      </c>
    </row>
    <row r="53" spans="1:7" x14ac:dyDescent="0.3">
      <c r="A53" s="27">
        <v>52</v>
      </c>
      <c r="B53" s="28">
        <v>0</v>
      </c>
      <c r="C53" s="28">
        <v>8</v>
      </c>
      <c r="D53" s="28">
        <v>18</v>
      </c>
      <c r="E53" s="29">
        <v>1</v>
      </c>
      <c r="F53" s="28">
        <v>1</v>
      </c>
      <c r="G53" s="3">
        <f>IF(Table1[[#This Row],[Actual Class]]=Table1[[#This Row],[Predicted Class]],1,0)</f>
        <v>1</v>
      </c>
    </row>
    <row r="54" spans="1:7" x14ac:dyDescent="0.3">
      <c r="A54" s="27">
        <v>53</v>
      </c>
      <c r="B54" s="28">
        <v>17</v>
      </c>
      <c r="C54" s="28">
        <v>13</v>
      </c>
      <c r="D54" s="28">
        <v>14</v>
      </c>
      <c r="E54" s="29">
        <v>0</v>
      </c>
      <c r="F54" s="28">
        <v>0</v>
      </c>
      <c r="G54" s="3">
        <f>IF(Table1[[#This Row],[Actual Class]]=Table1[[#This Row],[Predicted Class]],1,0)</f>
        <v>1</v>
      </c>
    </row>
    <row r="55" spans="1:7" x14ac:dyDescent="0.3">
      <c r="A55" s="27">
        <v>54</v>
      </c>
      <c r="B55" s="28">
        <v>9</v>
      </c>
      <c r="C55" s="28">
        <v>10</v>
      </c>
      <c r="D55" s="28">
        <v>15</v>
      </c>
      <c r="E55" s="29">
        <v>1</v>
      </c>
      <c r="F55" s="28">
        <v>1</v>
      </c>
      <c r="G55" s="3">
        <f>IF(Table1[[#This Row],[Actual Class]]=Table1[[#This Row],[Predicted Class]],1,0)</f>
        <v>1</v>
      </c>
    </row>
    <row r="56" spans="1:7" x14ac:dyDescent="0.3">
      <c r="A56" s="27">
        <v>55</v>
      </c>
      <c r="B56" s="28">
        <v>19</v>
      </c>
      <c r="C56" s="28">
        <v>13</v>
      </c>
      <c r="D56" s="28">
        <v>10</v>
      </c>
      <c r="E56" s="29">
        <v>1</v>
      </c>
      <c r="F56" s="28">
        <v>0</v>
      </c>
      <c r="G56" s="3">
        <f>IF(Table1[[#This Row],[Actual Class]]=Table1[[#This Row],[Predicted Class]],1,0)</f>
        <v>0</v>
      </c>
    </row>
    <row r="57" spans="1:7" x14ac:dyDescent="0.3">
      <c r="A57" s="27">
        <v>56</v>
      </c>
      <c r="B57" s="28">
        <v>10</v>
      </c>
      <c r="C57" s="28">
        <v>7</v>
      </c>
      <c r="D57" s="28">
        <v>13</v>
      </c>
      <c r="E57" s="29">
        <v>0</v>
      </c>
      <c r="F57" s="28">
        <v>1</v>
      </c>
      <c r="G57" s="3">
        <f>IF(Table1[[#This Row],[Actual Class]]=Table1[[#This Row],[Predicted Class]],1,0)</f>
        <v>0</v>
      </c>
    </row>
    <row r="58" spans="1:7" x14ac:dyDescent="0.3">
      <c r="A58" s="27">
        <v>57</v>
      </c>
      <c r="B58" s="28">
        <v>14</v>
      </c>
      <c r="C58" s="28">
        <v>13</v>
      </c>
      <c r="D58" s="28">
        <v>14</v>
      </c>
      <c r="E58" s="29">
        <v>1</v>
      </c>
      <c r="F58" s="28">
        <v>0</v>
      </c>
      <c r="G58" s="3">
        <f>IF(Table1[[#This Row],[Actual Class]]=Table1[[#This Row],[Predicted Class]],1,0)</f>
        <v>0</v>
      </c>
    </row>
    <row r="59" spans="1:7" x14ac:dyDescent="0.3">
      <c r="A59" s="27">
        <v>58</v>
      </c>
      <c r="B59" s="28">
        <v>17</v>
      </c>
      <c r="C59" s="28">
        <v>11</v>
      </c>
      <c r="D59" s="28">
        <v>18</v>
      </c>
      <c r="E59" s="29">
        <v>0</v>
      </c>
      <c r="F59" s="28">
        <v>0</v>
      </c>
      <c r="G59" s="3">
        <f>IF(Table1[[#This Row],[Actual Class]]=Table1[[#This Row],[Predicted Class]],1,0)</f>
        <v>1</v>
      </c>
    </row>
    <row r="60" spans="1:7" x14ac:dyDescent="0.3">
      <c r="A60" s="27">
        <v>59</v>
      </c>
      <c r="B60" s="28">
        <v>6</v>
      </c>
      <c r="C60" s="28">
        <v>9</v>
      </c>
      <c r="D60" s="28">
        <v>13</v>
      </c>
      <c r="E60" s="29">
        <v>1</v>
      </c>
      <c r="F60" s="28">
        <v>0</v>
      </c>
      <c r="G60" s="3">
        <f>IF(Table1[[#This Row],[Actual Class]]=Table1[[#This Row],[Predicted Class]],1,0)</f>
        <v>0</v>
      </c>
    </row>
    <row r="61" spans="1:7" x14ac:dyDescent="0.3">
      <c r="A61" s="27">
        <v>60</v>
      </c>
      <c r="B61" s="28">
        <v>14</v>
      </c>
      <c r="C61" s="28">
        <v>14</v>
      </c>
      <c r="D61" s="28">
        <v>20</v>
      </c>
      <c r="E61" s="29">
        <v>1</v>
      </c>
      <c r="F61" s="28">
        <v>1</v>
      </c>
      <c r="G61" s="3">
        <f>IF(Table1[[#This Row],[Actual Class]]=Table1[[#This Row],[Predicted Class]],1,0)</f>
        <v>1</v>
      </c>
    </row>
    <row r="62" spans="1:7" x14ac:dyDescent="0.3">
      <c r="A62" s="30">
        <v>61</v>
      </c>
      <c r="B62" s="31">
        <v>11</v>
      </c>
      <c r="C62" s="31">
        <v>9</v>
      </c>
      <c r="D62" s="31">
        <v>17</v>
      </c>
      <c r="E62" s="32">
        <v>0</v>
      </c>
      <c r="F62" s="31">
        <v>1</v>
      </c>
      <c r="G62" s="3">
        <f>IF(Table1[[#This Row],[Actual Class]]=Table1[[#This Row],[Predicted Class]],1,0)</f>
        <v>0</v>
      </c>
    </row>
    <row r="63" spans="1:7" x14ac:dyDescent="0.3">
      <c r="A63" s="30">
        <v>62</v>
      </c>
      <c r="B63" s="31">
        <v>1</v>
      </c>
      <c r="C63" s="31">
        <v>7</v>
      </c>
      <c r="D63" s="31">
        <v>15</v>
      </c>
      <c r="E63" s="32">
        <v>0</v>
      </c>
      <c r="F63" s="31">
        <v>1</v>
      </c>
      <c r="G63" s="3">
        <f>IF(Table1[[#This Row],[Actual Class]]=Table1[[#This Row],[Predicted Class]],1,0)</f>
        <v>0</v>
      </c>
    </row>
    <row r="64" spans="1:7" x14ac:dyDescent="0.3">
      <c r="A64" s="30">
        <v>63</v>
      </c>
      <c r="B64" s="31">
        <v>2</v>
      </c>
      <c r="C64" s="31">
        <v>5</v>
      </c>
      <c r="D64" s="31">
        <v>16</v>
      </c>
      <c r="E64" s="32">
        <v>1</v>
      </c>
      <c r="F64" s="31">
        <v>0</v>
      </c>
      <c r="G64" s="3">
        <f>IF(Table1[[#This Row],[Actual Class]]=Table1[[#This Row],[Predicted Class]],1,0)</f>
        <v>0</v>
      </c>
    </row>
    <row r="65" spans="1:7" x14ac:dyDescent="0.3">
      <c r="A65" s="30">
        <v>64</v>
      </c>
      <c r="B65" s="31">
        <v>14</v>
      </c>
      <c r="C65" s="31">
        <v>10</v>
      </c>
      <c r="D65" s="31">
        <v>16</v>
      </c>
      <c r="E65" s="32">
        <v>1</v>
      </c>
      <c r="F65" s="31">
        <v>1</v>
      </c>
      <c r="G65" s="3">
        <f>IF(Table1[[#This Row],[Actual Class]]=Table1[[#This Row],[Predicted Class]],1,0)</f>
        <v>1</v>
      </c>
    </row>
    <row r="66" spans="1:7" x14ac:dyDescent="0.3">
      <c r="A66" s="30">
        <v>65</v>
      </c>
      <c r="B66" s="31">
        <v>2</v>
      </c>
      <c r="C66" s="31">
        <v>10</v>
      </c>
      <c r="D66" s="31">
        <v>10</v>
      </c>
      <c r="E66" s="32">
        <v>0</v>
      </c>
      <c r="F66" s="31">
        <v>0</v>
      </c>
      <c r="G66" s="3">
        <f>IF(Table1[[#This Row],[Actual Class]]=Table1[[#This Row],[Predicted Class]],1,0)</f>
        <v>1</v>
      </c>
    </row>
    <row r="67" spans="1:7" x14ac:dyDescent="0.3">
      <c r="A67" s="30">
        <v>66</v>
      </c>
      <c r="B67" s="31">
        <v>3</v>
      </c>
      <c r="C67" s="31">
        <v>7</v>
      </c>
      <c r="D67" s="31">
        <v>19</v>
      </c>
      <c r="E67" s="32">
        <v>0</v>
      </c>
      <c r="F67" s="31">
        <v>1</v>
      </c>
      <c r="G67" s="3">
        <f>IF(Table1[[#This Row],[Actual Class]]=Table1[[#This Row],[Predicted Class]],1,0)</f>
        <v>0</v>
      </c>
    </row>
    <row r="68" spans="1:7" x14ac:dyDescent="0.3">
      <c r="A68" s="30">
        <v>67</v>
      </c>
      <c r="B68" s="31">
        <v>0</v>
      </c>
      <c r="C68" s="31">
        <v>7</v>
      </c>
      <c r="D68" s="31">
        <v>20</v>
      </c>
      <c r="E68" s="32">
        <v>0</v>
      </c>
      <c r="F68" s="31">
        <v>0</v>
      </c>
      <c r="G68" s="3">
        <f>IF(Table1[[#This Row],[Actual Class]]=Table1[[#This Row],[Predicted Class]],1,0)</f>
        <v>1</v>
      </c>
    </row>
    <row r="69" spans="1:7" x14ac:dyDescent="0.3">
      <c r="A69" s="30">
        <v>68</v>
      </c>
      <c r="B69" s="31">
        <v>18</v>
      </c>
      <c r="C69" s="31">
        <v>11</v>
      </c>
      <c r="D69" s="31">
        <v>11</v>
      </c>
      <c r="E69" s="32">
        <v>1</v>
      </c>
      <c r="F69" s="31">
        <v>0</v>
      </c>
      <c r="G69" s="3">
        <f>IF(Table1[[#This Row],[Actual Class]]=Table1[[#This Row],[Predicted Class]],1,0)</f>
        <v>0</v>
      </c>
    </row>
    <row r="70" spans="1:7" x14ac:dyDescent="0.3">
      <c r="A70" s="30">
        <v>69</v>
      </c>
      <c r="B70" s="31">
        <v>13</v>
      </c>
      <c r="C70" s="31">
        <v>10</v>
      </c>
      <c r="D70" s="31">
        <v>17</v>
      </c>
      <c r="E70" s="32">
        <v>0</v>
      </c>
      <c r="F70" s="31">
        <v>0</v>
      </c>
      <c r="G70" s="3">
        <f>IF(Table1[[#This Row],[Actual Class]]=Table1[[#This Row],[Predicted Class]],1,0)</f>
        <v>1</v>
      </c>
    </row>
    <row r="71" spans="1:7" x14ac:dyDescent="0.3">
      <c r="A71" s="30">
        <v>70</v>
      </c>
      <c r="B71" s="31">
        <v>19</v>
      </c>
      <c r="C71" s="31">
        <v>14</v>
      </c>
      <c r="D71" s="31">
        <v>16</v>
      </c>
      <c r="E71" s="32">
        <v>0</v>
      </c>
      <c r="F71" s="31">
        <v>1</v>
      </c>
      <c r="G71" s="3">
        <f>IF(Table1[[#This Row],[Actual Class]]=Table1[[#This Row],[Predicted Class]],1,0)</f>
        <v>0</v>
      </c>
    </row>
    <row r="72" spans="1:7" x14ac:dyDescent="0.3">
      <c r="A72" s="33">
        <v>71</v>
      </c>
      <c r="B72" s="34">
        <v>2</v>
      </c>
      <c r="C72" s="34">
        <v>7</v>
      </c>
      <c r="D72" s="34">
        <v>13</v>
      </c>
      <c r="E72" s="35">
        <v>0</v>
      </c>
      <c r="F72" s="34">
        <v>0</v>
      </c>
      <c r="G72" s="3">
        <f>IF(Table1[[#This Row],[Actual Class]]=Table1[[#This Row],[Predicted Class]],1,0)</f>
        <v>1</v>
      </c>
    </row>
    <row r="73" spans="1:7" x14ac:dyDescent="0.3">
      <c r="A73" s="33">
        <v>72</v>
      </c>
      <c r="B73" s="34">
        <v>9</v>
      </c>
      <c r="C73" s="34">
        <v>13</v>
      </c>
      <c r="D73" s="34">
        <v>17</v>
      </c>
      <c r="E73" s="35">
        <v>0</v>
      </c>
      <c r="F73" s="34">
        <v>0</v>
      </c>
      <c r="G73" s="3">
        <f>IF(Table1[[#This Row],[Actual Class]]=Table1[[#This Row],[Predicted Class]],1,0)</f>
        <v>1</v>
      </c>
    </row>
    <row r="74" spans="1:7" x14ac:dyDescent="0.3">
      <c r="A74" s="33">
        <v>73</v>
      </c>
      <c r="B74" s="34">
        <v>4</v>
      </c>
      <c r="C74" s="34">
        <v>6</v>
      </c>
      <c r="D74" s="34">
        <v>10</v>
      </c>
      <c r="E74" s="35">
        <v>1</v>
      </c>
      <c r="F74" s="34">
        <v>1</v>
      </c>
      <c r="G74" s="3">
        <f>IF(Table1[[#This Row],[Actual Class]]=Table1[[#This Row],[Predicted Class]],1,0)</f>
        <v>1</v>
      </c>
    </row>
    <row r="75" spans="1:7" x14ac:dyDescent="0.3">
      <c r="A75" s="33">
        <v>74</v>
      </c>
      <c r="B75" s="34">
        <v>17</v>
      </c>
      <c r="C75" s="34">
        <v>12</v>
      </c>
      <c r="D75" s="34">
        <v>13</v>
      </c>
      <c r="E75" s="35">
        <v>1</v>
      </c>
      <c r="F75" s="34">
        <v>0</v>
      </c>
      <c r="G75" s="3">
        <f>IF(Table1[[#This Row],[Actual Class]]=Table1[[#This Row],[Predicted Class]],1,0)</f>
        <v>0</v>
      </c>
    </row>
    <row r="76" spans="1:7" x14ac:dyDescent="0.3">
      <c r="A76" s="33">
        <v>75</v>
      </c>
      <c r="B76" s="34">
        <v>2</v>
      </c>
      <c r="C76" s="34">
        <v>14</v>
      </c>
      <c r="D76" s="34">
        <v>12</v>
      </c>
      <c r="E76" s="35">
        <v>1</v>
      </c>
      <c r="F76" s="34">
        <v>0</v>
      </c>
      <c r="G76" s="3">
        <f>IF(Table1[[#This Row],[Actual Class]]=Table1[[#This Row],[Predicted Class]],1,0)</f>
        <v>0</v>
      </c>
    </row>
    <row r="77" spans="1:7" x14ac:dyDescent="0.3">
      <c r="A77" s="33">
        <v>76</v>
      </c>
      <c r="B77" s="34">
        <v>2</v>
      </c>
      <c r="C77" s="34">
        <v>15</v>
      </c>
      <c r="D77" s="34">
        <v>12</v>
      </c>
      <c r="E77" s="35">
        <v>1</v>
      </c>
      <c r="F77" s="34">
        <v>1</v>
      </c>
      <c r="G77" s="3">
        <f>IF(Table1[[#This Row],[Actual Class]]=Table1[[#This Row],[Predicted Class]],1,0)</f>
        <v>1</v>
      </c>
    </row>
    <row r="78" spans="1:7" x14ac:dyDescent="0.3">
      <c r="A78" s="33">
        <v>77</v>
      </c>
      <c r="B78" s="34">
        <v>16</v>
      </c>
      <c r="C78" s="34">
        <v>14</v>
      </c>
      <c r="D78" s="34">
        <v>16</v>
      </c>
      <c r="E78" s="35">
        <v>0</v>
      </c>
      <c r="F78" s="34">
        <v>1</v>
      </c>
      <c r="G78" s="3">
        <f>IF(Table1[[#This Row],[Actual Class]]=Table1[[#This Row],[Predicted Class]],1,0)</f>
        <v>0</v>
      </c>
    </row>
    <row r="79" spans="1:7" x14ac:dyDescent="0.3">
      <c r="A79" s="33">
        <v>78</v>
      </c>
      <c r="B79" s="34">
        <v>8</v>
      </c>
      <c r="C79" s="34">
        <v>15</v>
      </c>
      <c r="D79" s="34">
        <v>18</v>
      </c>
      <c r="E79" s="35">
        <v>0</v>
      </c>
      <c r="F79" s="34">
        <v>1</v>
      </c>
      <c r="G79" s="3">
        <f>IF(Table1[[#This Row],[Actual Class]]=Table1[[#This Row],[Predicted Class]],1,0)</f>
        <v>0</v>
      </c>
    </row>
    <row r="80" spans="1:7" x14ac:dyDescent="0.3">
      <c r="A80" s="33">
        <v>79</v>
      </c>
      <c r="B80" s="34">
        <v>0</v>
      </c>
      <c r="C80" s="34">
        <v>14</v>
      </c>
      <c r="D80" s="34">
        <v>17</v>
      </c>
      <c r="E80" s="35">
        <v>0</v>
      </c>
      <c r="F80" s="34">
        <v>1</v>
      </c>
      <c r="G80" s="3">
        <f>IF(Table1[[#This Row],[Actual Class]]=Table1[[#This Row],[Predicted Class]],1,0)</f>
        <v>0</v>
      </c>
    </row>
    <row r="81" spans="1:7" x14ac:dyDescent="0.3">
      <c r="A81" s="33">
        <v>80</v>
      </c>
      <c r="B81" s="34">
        <v>19</v>
      </c>
      <c r="C81" s="34">
        <v>13</v>
      </c>
      <c r="D81" s="34">
        <v>14</v>
      </c>
      <c r="E81" s="35">
        <v>0</v>
      </c>
      <c r="F81" s="34">
        <v>0</v>
      </c>
      <c r="G81" s="3">
        <f>IF(Table1[[#This Row],[Actual Class]]=Table1[[#This Row],[Predicted Class]],1,0)</f>
        <v>1</v>
      </c>
    </row>
    <row r="82" spans="1:7" x14ac:dyDescent="0.3">
      <c r="A82" s="36">
        <v>81</v>
      </c>
      <c r="B82" s="37">
        <v>0</v>
      </c>
      <c r="C82" s="37">
        <v>14</v>
      </c>
      <c r="D82" s="37">
        <v>17</v>
      </c>
      <c r="E82" s="38">
        <v>1</v>
      </c>
      <c r="F82" s="37">
        <v>1</v>
      </c>
      <c r="G82" s="3">
        <f>IF(Table1[[#This Row],[Actual Class]]=Table1[[#This Row],[Predicted Class]],1,0)</f>
        <v>1</v>
      </c>
    </row>
    <row r="83" spans="1:7" x14ac:dyDescent="0.3">
      <c r="A83" s="36">
        <v>82</v>
      </c>
      <c r="B83" s="37">
        <v>10</v>
      </c>
      <c r="C83" s="37">
        <v>14</v>
      </c>
      <c r="D83" s="37">
        <v>17</v>
      </c>
      <c r="E83" s="38">
        <v>1</v>
      </c>
      <c r="F83" s="37">
        <v>0</v>
      </c>
      <c r="G83" s="3">
        <f>IF(Table1[[#This Row],[Actual Class]]=Table1[[#This Row],[Predicted Class]],1,0)</f>
        <v>0</v>
      </c>
    </row>
    <row r="84" spans="1:7" x14ac:dyDescent="0.3">
      <c r="A84" s="36">
        <v>83</v>
      </c>
      <c r="B84" s="37">
        <v>7</v>
      </c>
      <c r="C84" s="37">
        <v>7</v>
      </c>
      <c r="D84" s="37">
        <v>18</v>
      </c>
      <c r="E84" s="38">
        <v>0</v>
      </c>
      <c r="F84" s="37">
        <v>0</v>
      </c>
      <c r="G84" s="3">
        <f>IF(Table1[[#This Row],[Actual Class]]=Table1[[#This Row],[Predicted Class]],1,0)</f>
        <v>1</v>
      </c>
    </row>
    <row r="85" spans="1:7" x14ac:dyDescent="0.3">
      <c r="A85" s="36">
        <v>84</v>
      </c>
      <c r="B85" s="37">
        <v>7</v>
      </c>
      <c r="C85" s="37">
        <v>15</v>
      </c>
      <c r="D85" s="37">
        <v>20</v>
      </c>
      <c r="E85" s="38">
        <v>1</v>
      </c>
      <c r="F85" s="37">
        <v>0</v>
      </c>
      <c r="G85" s="3">
        <f>IF(Table1[[#This Row],[Actual Class]]=Table1[[#This Row],[Predicted Class]],1,0)</f>
        <v>0</v>
      </c>
    </row>
    <row r="86" spans="1:7" x14ac:dyDescent="0.3">
      <c r="A86" s="36">
        <v>85</v>
      </c>
      <c r="B86" s="37">
        <v>9</v>
      </c>
      <c r="C86" s="37">
        <v>9</v>
      </c>
      <c r="D86" s="37">
        <v>18</v>
      </c>
      <c r="E86" s="38">
        <v>0</v>
      </c>
      <c r="F86" s="37">
        <v>1</v>
      </c>
      <c r="G86" s="3">
        <f>IF(Table1[[#This Row],[Actual Class]]=Table1[[#This Row],[Predicted Class]],1,0)</f>
        <v>0</v>
      </c>
    </row>
    <row r="87" spans="1:7" x14ac:dyDescent="0.3">
      <c r="A87" s="36">
        <v>86</v>
      </c>
      <c r="B87" s="37">
        <v>8</v>
      </c>
      <c r="C87" s="37">
        <v>13</v>
      </c>
      <c r="D87" s="37">
        <v>17</v>
      </c>
      <c r="E87" s="38">
        <v>0</v>
      </c>
      <c r="F87" s="37">
        <v>0</v>
      </c>
      <c r="G87" s="3">
        <f>IF(Table1[[#This Row],[Actual Class]]=Table1[[#This Row],[Predicted Class]],1,0)</f>
        <v>1</v>
      </c>
    </row>
    <row r="88" spans="1:7" x14ac:dyDescent="0.3">
      <c r="A88" s="36">
        <v>87</v>
      </c>
      <c r="B88" s="37">
        <v>6</v>
      </c>
      <c r="C88" s="37">
        <v>13</v>
      </c>
      <c r="D88" s="37">
        <v>20</v>
      </c>
      <c r="E88" s="38">
        <v>1</v>
      </c>
      <c r="F88" s="37">
        <v>1</v>
      </c>
      <c r="G88" s="3">
        <f>IF(Table1[[#This Row],[Actual Class]]=Table1[[#This Row],[Predicted Class]],1,0)</f>
        <v>1</v>
      </c>
    </row>
    <row r="89" spans="1:7" x14ac:dyDescent="0.3">
      <c r="A89" s="36">
        <v>88</v>
      </c>
      <c r="B89" s="37">
        <v>6</v>
      </c>
      <c r="C89" s="37">
        <v>9</v>
      </c>
      <c r="D89" s="37">
        <v>20</v>
      </c>
      <c r="E89" s="38">
        <v>0</v>
      </c>
      <c r="F89" s="37">
        <v>0</v>
      </c>
      <c r="G89" s="3">
        <f>IF(Table1[[#This Row],[Actual Class]]=Table1[[#This Row],[Predicted Class]],1,0)</f>
        <v>1</v>
      </c>
    </row>
    <row r="90" spans="1:7" x14ac:dyDescent="0.3">
      <c r="A90" s="36">
        <v>89</v>
      </c>
      <c r="B90" s="37">
        <v>15</v>
      </c>
      <c r="C90" s="37">
        <v>10</v>
      </c>
      <c r="D90" s="37">
        <v>12</v>
      </c>
      <c r="E90" s="38">
        <v>0</v>
      </c>
      <c r="F90" s="37">
        <v>1</v>
      </c>
      <c r="G90" s="3">
        <f>IF(Table1[[#This Row],[Actual Class]]=Table1[[#This Row],[Predicted Class]],1,0)</f>
        <v>0</v>
      </c>
    </row>
    <row r="91" spans="1:7" x14ac:dyDescent="0.3">
      <c r="A91" s="36">
        <v>90</v>
      </c>
      <c r="B91" s="37">
        <v>10</v>
      </c>
      <c r="C91" s="37">
        <v>9</v>
      </c>
      <c r="D91" s="37">
        <v>20</v>
      </c>
      <c r="E91" s="38">
        <v>1</v>
      </c>
      <c r="F91" s="37">
        <v>0</v>
      </c>
      <c r="G91" s="3">
        <f>IF(Table1[[#This Row],[Actual Class]]=Table1[[#This Row],[Predicted Class]],1,0)</f>
        <v>0</v>
      </c>
    </row>
    <row r="92" spans="1:7" x14ac:dyDescent="0.3">
      <c r="A92" s="39">
        <v>91</v>
      </c>
      <c r="B92" s="40">
        <v>2</v>
      </c>
      <c r="C92" s="40">
        <v>5</v>
      </c>
      <c r="D92" s="40">
        <v>15</v>
      </c>
      <c r="E92" s="41">
        <v>1</v>
      </c>
      <c r="F92" s="40">
        <v>1</v>
      </c>
      <c r="G92" s="3">
        <f>IF(Table1[[#This Row],[Actual Class]]=Table1[[#This Row],[Predicted Class]],1,0)</f>
        <v>1</v>
      </c>
    </row>
    <row r="93" spans="1:7" x14ac:dyDescent="0.3">
      <c r="A93" s="39">
        <v>92</v>
      </c>
      <c r="B93" s="40">
        <v>13</v>
      </c>
      <c r="C93" s="40">
        <v>7</v>
      </c>
      <c r="D93" s="40">
        <v>19</v>
      </c>
      <c r="E93" s="41">
        <v>1</v>
      </c>
      <c r="F93" s="40">
        <v>1</v>
      </c>
      <c r="G93" s="3">
        <f>IF(Table1[[#This Row],[Actual Class]]=Table1[[#This Row],[Predicted Class]],1,0)</f>
        <v>1</v>
      </c>
    </row>
    <row r="94" spans="1:7" x14ac:dyDescent="0.3">
      <c r="A94" s="39">
        <v>93</v>
      </c>
      <c r="B94" s="40">
        <v>16</v>
      </c>
      <c r="C94" s="40">
        <v>13</v>
      </c>
      <c r="D94" s="40">
        <v>10</v>
      </c>
      <c r="E94" s="41">
        <v>1</v>
      </c>
      <c r="F94" s="40">
        <v>0</v>
      </c>
      <c r="G94" s="3">
        <f>IF(Table1[[#This Row],[Actual Class]]=Table1[[#This Row],[Predicted Class]],1,0)</f>
        <v>0</v>
      </c>
    </row>
    <row r="95" spans="1:7" x14ac:dyDescent="0.3">
      <c r="A95" s="39">
        <v>94</v>
      </c>
      <c r="B95" s="40">
        <v>12</v>
      </c>
      <c r="C95" s="40">
        <v>6</v>
      </c>
      <c r="D95" s="40">
        <v>19</v>
      </c>
      <c r="E95" s="41">
        <v>0</v>
      </c>
      <c r="F95" s="40">
        <v>1</v>
      </c>
      <c r="G95" s="3">
        <f>IF(Table1[[#This Row],[Actual Class]]=Table1[[#This Row],[Predicted Class]],1,0)</f>
        <v>0</v>
      </c>
    </row>
    <row r="96" spans="1:7" x14ac:dyDescent="0.3">
      <c r="A96" s="39">
        <v>95</v>
      </c>
      <c r="B96" s="40">
        <v>13</v>
      </c>
      <c r="C96" s="40">
        <v>12</v>
      </c>
      <c r="D96" s="40">
        <v>11</v>
      </c>
      <c r="E96" s="41">
        <v>1</v>
      </c>
      <c r="F96" s="40">
        <v>1</v>
      </c>
      <c r="G96" s="3">
        <f>IF(Table1[[#This Row],[Actual Class]]=Table1[[#This Row],[Predicted Class]],1,0)</f>
        <v>1</v>
      </c>
    </row>
    <row r="97" spans="1:7" x14ac:dyDescent="0.3">
      <c r="A97" s="39">
        <v>96</v>
      </c>
      <c r="B97" s="40">
        <v>7</v>
      </c>
      <c r="C97" s="40">
        <v>7</v>
      </c>
      <c r="D97" s="40">
        <v>14</v>
      </c>
      <c r="E97" s="41">
        <v>0</v>
      </c>
      <c r="F97" s="40">
        <v>0</v>
      </c>
      <c r="G97" s="3">
        <f>IF(Table1[[#This Row],[Actual Class]]=Table1[[#This Row],[Predicted Class]],1,0)</f>
        <v>1</v>
      </c>
    </row>
    <row r="98" spans="1:7" x14ac:dyDescent="0.3">
      <c r="A98" s="39">
        <v>97</v>
      </c>
      <c r="B98" s="40">
        <v>2</v>
      </c>
      <c r="C98" s="40">
        <v>9</v>
      </c>
      <c r="D98" s="40">
        <v>19</v>
      </c>
      <c r="E98" s="41">
        <v>0</v>
      </c>
      <c r="F98" s="40">
        <v>1</v>
      </c>
      <c r="G98" s="3">
        <f>IF(Table1[[#This Row],[Actual Class]]=Table1[[#This Row],[Predicted Class]],1,0)</f>
        <v>0</v>
      </c>
    </row>
    <row r="99" spans="1:7" x14ac:dyDescent="0.3">
      <c r="A99" s="39">
        <v>98</v>
      </c>
      <c r="B99" s="40">
        <v>11</v>
      </c>
      <c r="C99" s="40">
        <v>12</v>
      </c>
      <c r="D99" s="40">
        <v>11</v>
      </c>
      <c r="E99" s="41">
        <v>1</v>
      </c>
      <c r="F99" s="40">
        <v>1</v>
      </c>
      <c r="G99" s="3">
        <f>IF(Table1[[#This Row],[Actual Class]]=Table1[[#This Row],[Predicted Class]],1,0)</f>
        <v>1</v>
      </c>
    </row>
    <row r="100" spans="1:7" x14ac:dyDescent="0.3">
      <c r="A100" s="39">
        <v>99</v>
      </c>
      <c r="B100" s="40">
        <v>5</v>
      </c>
      <c r="C100" s="40">
        <v>5</v>
      </c>
      <c r="D100" s="40">
        <v>18</v>
      </c>
      <c r="E100" s="41">
        <v>0</v>
      </c>
      <c r="F100" s="40">
        <v>1</v>
      </c>
      <c r="G100" s="3">
        <f>IF(Table1[[#This Row],[Actual Class]]=Table1[[#This Row],[Predicted Class]],1,0)</f>
        <v>0</v>
      </c>
    </row>
    <row r="101" spans="1:7" x14ac:dyDescent="0.3">
      <c r="A101" s="42">
        <v>100</v>
      </c>
      <c r="B101" s="43">
        <v>5</v>
      </c>
      <c r="C101" s="43">
        <v>6</v>
      </c>
      <c r="D101" s="43">
        <v>20</v>
      </c>
      <c r="E101" s="44">
        <v>1</v>
      </c>
      <c r="F101" s="40">
        <v>0</v>
      </c>
      <c r="G101" s="45">
        <f>IF(Table1[[#This Row],[Actual Class]]=Table1[[#This Row],[Predicted Class]],1,0)</f>
        <v>0</v>
      </c>
    </row>
    <row r="104" spans="1:7" x14ac:dyDescent="0.3">
      <c r="B104" s="2" t="s">
        <v>23</v>
      </c>
      <c r="C104" s="2">
        <v>0.6</v>
      </c>
    </row>
    <row r="105" spans="1:7" x14ac:dyDescent="0.3">
      <c r="B105" s="2" t="s">
        <v>25</v>
      </c>
      <c r="C105" s="2">
        <v>0.3</v>
      </c>
    </row>
    <row r="106" spans="1:7" x14ac:dyDescent="0.3">
      <c r="B106" s="2" t="s">
        <v>26</v>
      </c>
      <c r="C106" s="2">
        <v>0.6</v>
      </c>
    </row>
    <row r="107" spans="1:7" x14ac:dyDescent="0.3">
      <c r="B107" s="2" t="s">
        <v>27</v>
      </c>
      <c r="C107" s="2">
        <v>0.7</v>
      </c>
    </row>
    <row r="108" spans="1:7" x14ac:dyDescent="0.3">
      <c r="B108" s="2" t="s">
        <v>28</v>
      </c>
      <c r="C108" s="2">
        <v>0.7</v>
      </c>
    </row>
    <row r="109" spans="1:7" x14ac:dyDescent="0.3">
      <c r="B109" s="2" t="s">
        <v>29</v>
      </c>
      <c r="C109" s="2">
        <v>0.5</v>
      </c>
    </row>
    <row r="110" spans="1:7" x14ac:dyDescent="0.3">
      <c r="B110" s="2" t="s">
        <v>30</v>
      </c>
      <c r="C110" s="2">
        <v>0.4</v>
      </c>
    </row>
    <row r="111" spans="1:7" x14ac:dyDescent="0.3">
      <c r="B111" s="2" t="s">
        <v>31</v>
      </c>
      <c r="C111" s="2">
        <v>0.5</v>
      </c>
    </row>
    <row r="112" spans="1:7" x14ac:dyDescent="0.3">
      <c r="B112" s="2" t="s">
        <v>32</v>
      </c>
      <c r="C112" s="2">
        <v>0.5</v>
      </c>
    </row>
    <row r="113" spans="2:10" x14ac:dyDescent="0.3">
      <c r="B113" s="2" t="s">
        <v>33</v>
      </c>
      <c r="C113" s="2">
        <v>0.5</v>
      </c>
    </row>
    <row r="116" spans="2:10" ht="30" customHeight="1" x14ac:dyDescent="0.3"/>
    <row r="117" spans="2:10" ht="27.5" customHeight="1" x14ac:dyDescent="0.3">
      <c r="B117" s="3"/>
      <c r="C117" s="3" t="s">
        <v>68</v>
      </c>
      <c r="D117" s="3" t="s">
        <v>67</v>
      </c>
      <c r="E117" s="3" t="s">
        <v>1</v>
      </c>
    </row>
    <row r="118" spans="2:10" ht="27.5" customHeight="1" x14ac:dyDescent="0.3">
      <c r="B118" s="3" t="s">
        <v>65</v>
      </c>
      <c r="C118" s="3" t="s">
        <v>34</v>
      </c>
      <c r="D118" s="3" t="s">
        <v>36</v>
      </c>
      <c r="E118" s="3" t="s">
        <v>50</v>
      </c>
    </row>
    <row r="119" spans="2:10" ht="27.5" customHeight="1" x14ac:dyDescent="0.3">
      <c r="B119" s="3" t="s">
        <v>66</v>
      </c>
      <c r="C119" s="3" t="s">
        <v>37</v>
      </c>
      <c r="D119" s="3" t="s">
        <v>35</v>
      </c>
      <c r="E119" s="3" t="s">
        <v>0</v>
      </c>
    </row>
    <row r="122" spans="2:10" x14ac:dyDescent="0.3">
      <c r="B122" s="53" t="s">
        <v>38</v>
      </c>
      <c r="C122" s="54"/>
      <c r="D122" s="6" t="b">
        <v>1</v>
      </c>
    </row>
    <row r="123" spans="2:10" x14ac:dyDescent="0.3">
      <c r="B123" s="53" t="s">
        <v>39</v>
      </c>
      <c r="C123" s="54"/>
      <c r="D123" s="47" t="b">
        <v>0</v>
      </c>
    </row>
    <row r="126" spans="2:10" x14ac:dyDescent="0.3">
      <c r="B126" s="48" t="s">
        <v>46</v>
      </c>
      <c r="C126" s="51" t="s">
        <v>42</v>
      </c>
      <c r="D126" s="51"/>
      <c r="E126" s="52"/>
      <c r="H126" s="49" t="s">
        <v>53</v>
      </c>
      <c r="I126" s="46" t="s">
        <v>57</v>
      </c>
      <c r="J126" s="3" t="s">
        <v>61</v>
      </c>
    </row>
    <row r="127" spans="2:10" x14ac:dyDescent="0.3">
      <c r="B127" s="48" t="s">
        <v>47</v>
      </c>
      <c r="C127" s="51" t="s">
        <v>43</v>
      </c>
      <c r="D127" s="51"/>
      <c r="E127" s="52"/>
      <c r="H127" s="49" t="s">
        <v>54</v>
      </c>
      <c r="I127" s="46" t="s">
        <v>58</v>
      </c>
      <c r="J127" s="3" t="s">
        <v>62</v>
      </c>
    </row>
    <row r="128" spans="2:10" x14ac:dyDescent="0.3">
      <c r="B128" s="48" t="s">
        <v>48</v>
      </c>
      <c r="C128" s="51" t="s">
        <v>44</v>
      </c>
      <c r="D128" s="51"/>
      <c r="E128" s="52"/>
      <c r="H128" s="49" t="s">
        <v>55</v>
      </c>
      <c r="I128" s="46" t="s">
        <v>59</v>
      </c>
      <c r="J128" s="3" t="s">
        <v>63</v>
      </c>
    </row>
    <row r="129" spans="2:10" x14ac:dyDescent="0.3">
      <c r="B129" s="48" t="s">
        <v>49</v>
      </c>
      <c r="C129" s="51" t="s">
        <v>45</v>
      </c>
      <c r="D129" s="51"/>
      <c r="E129" s="52"/>
      <c r="H129" s="49" t="s">
        <v>56</v>
      </c>
      <c r="I129" s="46" t="s">
        <v>60</v>
      </c>
      <c r="J129" s="3" t="s">
        <v>64</v>
      </c>
    </row>
    <row r="132" spans="2:10" x14ac:dyDescent="0.3">
      <c r="B132" s="2" t="s">
        <v>40</v>
      </c>
      <c r="C132" s="2" t="s">
        <v>51</v>
      </c>
    </row>
    <row r="133" spans="2:10" x14ac:dyDescent="0.3">
      <c r="B133" s="2" t="s">
        <v>41</v>
      </c>
      <c r="C133" s="2" t="s">
        <v>52</v>
      </c>
    </row>
  </sheetData>
  <mergeCells count="6">
    <mergeCell ref="C128:E128"/>
    <mergeCell ref="C129:E129"/>
    <mergeCell ref="B122:C122"/>
    <mergeCell ref="B123:C123"/>
    <mergeCell ref="C126:E126"/>
    <mergeCell ref="C127:E127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Mohaimen-Bin-Noor</dc:creator>
  <cp:lastModifiedBy>Mohaimen-Bin-Noor</cp:lastModifiedBy>
  <dcterms:created xsi:type="dcterms:W3CDTF">2015-06-05T18:17:20Z</dcterms:created>
  <dcterms:modified xsi:type="dcterms:W3CDTF">2025-11-17T09:46:30Z</dcterms:modified>
</cp:coreProperties>
</file>